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759ADF7-018B-4B7A-BF70-AE70D309A679}" xr6:coauthVersionLast="47" xr6:coauthVersionMax="47" xr10:uidLastSave="{00000000-0000-0000-0000-000000000000}"/>
  <bookViews>
    <workbookView xWindow="3030" yWindow="3030" windowWidth="14400" windowHeight="7335" xr2:uid="{85D8CC9C-3586-46B7-8D3F-4D03E36C5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0" i="1" l="1"/>
  <c r="G30" i="1"/>
  <c r="K29" i="1"/>
  <c r="L29" i="1" s="1"/>
  <c r="H29" i="1"/>
  <c r="I29" i="1" s="1"/>
  <c r="K28" i="1"/>
  <c r="L28" i="1" s="1"/>
  <c r="H28" i="1"/>
  <c r="I28" i="1" s="1"/>
  <c r="K27" i="1"/>
  <c r="L27" i="1" s="1"/>
  <c r="H27" i="1"/>
  <c r="I27" i="1" s="1"/>
  <c r="K26" i="1"/>
  <c r="L26" i="1" s="1"/>
  <c r="H26" i="1"/>
  <c r="I26" i="1" s="1"/>
  <c r="K25" i="1"/>
  <c r="L25" i="1" s="1"/>
  <c r="H25" i="1"/>
  <c r="I25" i="1" s="1"/>
  <c r="K24" i="1"/>
  <c r="L24" i="1" s="1"/>
  <c r="H24" i="1"/>
  <c r="I24" i="1" s="1"/>
  <c r="K23" i="1"/>
  <c r="L23" i="1" s="1"/>
  <c r="H23" i="1"/>
  <c r="I23" i="1" s="1"/>
  <c r="K22" i="1"/>
  <c r="L22" i="1" s="1"/>
  <c r="H22" i="1"/>
  <c r="I22" i="1" s="1"/>
  <c r="K21" i="1"/>
  <c r="L21" i="1" s="1"/>
  <c r="H21" i="1"/>
  <c r="I21" i="1" s="1"/>
  <c r="K20" i="1"/>
  <c r="L20" i="1" s="1"/>
  <c r="H20" i="1"/>
  <c r="I20" i="1" s="1"/>
  <c r="K19" i="1"/>
  <c r="L19" i="1" s="1"/>
  <c r="H19" i="1"/>
  <c r="I19" i="1" s="1"/>
  <c r="K18" i="1"/>
  <c r="L18" i="1" s="1"/>
  <c r="H18" i="1"/>
  <c r="I18" i="1" s="1"/>
  <c r="K17" i="1"/>
  <c r="L17" i="1" s="1"/>
  <c r="H17" i="1"/>
  <c r="I17" i="1" s="1"/>
  <c r="K16" i="1"/>
  <c r="L16" i="1" s="1"/>
  <c r="H16" i="1"/>
  <c r="I16" i="1" s="1"/>
  <c r="K15" i="1"/>
  <c r="K30" i="1" s="1"/>
  <c r="H15" i="1"/>
  <c r="H30" i="1" s="1"/>
  <c r="C9" i="1" s="1"/>
  <c r="L15" i="1" l="1"/>
  <c r="L30" i="1" s="1"/>
  <c r="I15" i="1"/>
  <c r="I30" i="1" s="1"/>
  <c r="C10" i="1" s="1"/>
</calcChain>
</file>

<file path=xl/sharedStrings.xml><?xml version="1.0" encoding="utf-8"?>
<sst xmlns="http://schemas.openxmlformats.org/spreadsheetml/2006/main" count="92" uniqueCount="55">
  <si>
    <t>Pillar 2: Industrial Safety &amp; Environment (I2)</t>
  </si>
  <si>
    <r>
      <rPr>
        <b/>
        <sz val="18"/>
        <color rgb="FF000000"/>
        <rFont val="TH SarabunPSK"/>
      </rPr>
      <t xml:space="preserve">การประเมินผลการดำเนินการ 
</t>
    </r>
    <r>
      <rPr>
        <sz val="18"/>
        <color rgb="FF000000"/>
        <rFont val="TH SarabunPSK"/>
      </rPr>
      <t>(ประกอบด้วย จำนวน 15 ตัวชี้วัด / น้ำหนักคะแนน 300 คะแนน)</t>
    </r>
  </si>
  <si>
    <r>
      <rPr>
        <b/>
        <sz val="18"/>
        <color rgb="FF000000"/>
        <rFont val="TH SarabunPSK"/>
      </rPr>
      <t xml:space="preserve">กรอบแนวคิด : </t>
    </r>
    <r>
      <rPr>
        <sz val="18"/>
        <color rgb="FF000000"/>
        <rFont val="TH SarabunPSK"/>
      </rPr>
      <t>มุ่งเน้นการจัดการความปลอดภัยอาชีวอนามัยและสิ่งแวดล้อมในการทำงานตามมาตรฐานสากล ISO 45001:2018 (Occupational Health and Safety Management Systems), ISO 14001:2015 (Environmental Management Systems) และพระราชบัญญัติความปลอดภัย อาชีวอนามัย และสภาพแวดล้อมในการทำงาน พ.ศ. 2554</t>
    </r>
  </si>
  <si>
    <t>สรุปผลคะแนน</t>
  </si>
  <si>
    <t xml:space="preserve">Industrial Safety &amp; Environment (I2) - ความปลอดภัยและสิ่งแวดล้อม (คะแนนเต็ม = 300 คะแนน) </t>
  </si>
  <si>
    <t xml:space="preserve">คะแนนที่ได้ : </t>
  </si>
  <si>
    <t>ร้อยละ (%) :</t>
  </si>
  <si>
    <t>การประเมินโดยตนเอง</t>
  </si>
  <si>
    <t>การประเมินโดยกรรมการ</t>
  </si>
  <si>
    <t>ตัวชี้วัด</t>
  </si>
  <si>
    <t>เกณฑ์</t>
  </si>
  <si>
    <t>คำอธิบายตัวชี้วัด</t>
  </si>
  <si>
    <t>เกณฑ์การประเมิน</t>
  </si>
  <si>
    <t>ผลการดำเนินงาน</t>
  </si>
  <si>
    <t>หลักฐานประกอบ</t>
  </si>
  <si>
    <t>ระดับการประเมินตนเอง</t>
  </si>
  <si>
    <t>คะแนนที่ได้</t>
  </si>
  <si>
    <t>คะแนนเต็ม</t>
  </si>
  <si>
    <t>ระดับการประเมินจากกรรมการ</t>
  </si>
  <si>
    <t>ข้อเสนอแนะในการพัฒนา</t>
  </si>
  <si>
    <t>Pillar 2: Industrial Safety &amp; Environment (I2) - ความปลอดภัยและสิ่งแวดล้อม</t>
  </si>
  <si>
    <t>I2.1: นโยบายความปลอดภัยและสิ่งแวดล้อม (OHS &amp; Environment Policy)</t>
  </si>
  <si>
    <t>สถานประกอบการมีระบบและการดำเนินงานด้านนโยบายความปลอดภัยและสิ่งแวดล้อมตามมาตรฐานและกฎหมายที่เกี่ยวข้อง</t>
  </si>
  <si>
    <t>• ระดับ 0: ไม่มีระบบหรือการดำเนินงาน
• ระดับ 0.25: มีระบบเบื้องต้น แต่ยังไม่ครบถ้วนตามกฎหมาย
• ระดับ 0.50: มีระบบและปฏิบัติตามกฎหมายขั้นพื้นฐาน
• ระดับ 0.75: มีระบบครบถ้วน มีการติดตามและปรับปรุงสม่ำเสมอ
• ระดับ 1.0: มีระบบที่เป็นเลิศ เป็นไปตามมาตรฐานสากล มีการพัฒนาต่อเนื่อง
• N/A: ไม่รับการประเมิน</t>
  </si>
  <si>
    <t>N/A</t>
  </si>
  <si>
    <t>I2.2: ระบบ HIRARC (Hazard Identification &amp; Risk Assessment)</t>
  </si>
  <si>
    <t>สถานประกอบการมีระบบและการดำเนินงานด้านระบบ HIRARCตามมาตรฐานและกฎหมายที่เกี่ยวข้อง</t>
  </si>
  <si>
    <t>I2.3: การป้องกันและรายงานอุบัติเหตุ (Accident Prevention &amp; Reporting)</t>
  </si>
  <si>
    <t>สถานประกอบการมีระบบและการดำเนินงานด้านการป้องกันและรายงานอุบัติเหตุตามมาตรฐานและกฎหมายที่เกี่ยวข้อง</t>
  </si>
  <si>
    <t xml:space="preserve">• ระดับ 0: ไม่มีระบบหรือการดำเนินงาน
• ระดับ 0.25: มีระบบเบื้องต้น แต่ยังไม่ครบถ้วนตามกฎหมาย
• ระดับ 0.50: มีระบบและปฏิบัติตามกฎหมายขั้นพื้นฐาน
• ระดับ 0.75: มีระบบครบถ้วน มีการติดตามและปรับปรุงสม่ำเสมอ
• ระดับ 1.0: มีระบบที่เป็นเลิศ เป็นไปตามมาตรฐานสากล มีการพัฒนาต่อเนื่อง
</t>
  </si>
  <si>
    <t>I2.4: อุปกรณ์ป้องกันอันตรายส่วนบุคคล (PPE) (Personal Protective Equipment)</t>
  </si>
  <si>
    <t>สถานประกอบการมีระบบและการดำเนินงานด้านอุปกรณ์ป้องกันอันตรายส่วนบุคคล (PPE)ตามมาตรฐานและกฎหมายที่เกี่ยวข้อง</t>
  </si>
  <si>
    <t>I2.5: การตรวจวัดสภาพแวดล้อมการทำงาน (Workplace Environment Monitoring)</t>
  </si>
  <si>
    <t>สถานประกอบการมีระบบและการดำเนินงานด้านการตรวจวัดสภาพแวดล้อมการทำงานตามมาตรฐานและกฎหมายที่เกี่ยวข้อง</t>
  </si>
  <si>
    <t>I2.6: ระบบบริหารจัดการสารเคมี (Chemical Management System)</t>
  </si>
  <si>
    <t>สถานประกอบการมีระบบและการดำเนินงานด้านระบบบริหารจัดการสารเคมีตามมาตรฐานและกฎหมายที่เกี่ยวข้อง</t>
  </si>
  <si>
    <t>I2.7: การป้องกันและระงับอัคคีภัย (Fire Prevention &amp; Control)</t>
  </si>
  <si>
    <t>สถานประกอบการมีระบบและการดำเนินงานด้านการป้องกันและระงับอัคคีภัยตามมาตรฐานและกฎหมายที่เกี่ยวข้อง</t>
  </si>
  <si>
    <t>I2.8: แผนฉุกเฉินและการซ้อมหนีไฟ (Emergency Response Plan)</t>
  </si>
  <si>
    <t>สถานประกอบการมีระบบและการดำเนินงานด้านแผนฉุกเฉินและการซ้อมหนีไฟตามมาตรฐานและกฎหมายที่เกี่ยวข้อง</t>
  </si>
  <si>
    <t>I2.9: ความปลอดภัยเครื่องจักรและอุปกรณ์ (Machine &amp; Equipment Safety)</t>
  </si>
  <si>
    <t>สถานประกอบการมีระบบและการดำเนินงานด้านความปลอดภัยเครื่องจักรและอุปกรณ์ตามมาตรฐานและกฎหมายที่เกี่ยวข้อง</t>
  </si>
  <si>
    <t>I2.10: การจัดการคุณภาพอากาศและเสียง (Air Quality &amp; Noise Management)</t>
  </si>
  <si>
    <t>สถานประกอบการมีระบบและการดำเนินงานด้านการจัดการคุณภาพอากาศและเสียงตามมาตรฐานและกฎหมายที่เกี่ยวข้อง</t>
  </si>
  <si>
    <t>I2.11: การจัดการน้ำเสียและของเสีย (Wastewater &amp; Waste Management)</t>
  </si>
  <si>
    <t>สถานประกอบการมีระบบและการดำเนินงานด้านการจัดการน้ำเสียและของเสียตามมาตรฐานและกฎหมายที่เกี่ยวข้อง</t>
  </si>
  <si>
    <t>I2.12: การประหยัดพลังงาน (Energy Conservation)</t>
  </si>
  <si>
    <t>สถานประกอบการมีระบบและการดำเนินงานด้านการประหยัดพลังงานตามมาตรฐานและกฎหมายที่เกี่ยวข้อง</t>
  </si>
  <si>
    <t>I2.13: การจัดการก๊าซเรือนกระจก (GHG Management)</t>
  </si>
  <si>
    <t>สถานประกอบการมีระบบและการดำเนินงานด้านการจัดการก๊าซเรือนกระจกตามมาตรฐานและกฎหมายที่เกี่ยวข้อง</t>
  </si>
  <si>
    <t>I2.14: ระบบ ISO หรือมาตรฐานสากล (ISO Certification)</t>
  </si>
  <si>
    <t>สถานประกอบการมีระบบและการดำเนินงานด้านระบบ ISO หรือมาตรฐานสากลตามมาตรฐานและกฎหมายที่เกี่ยวข้อง</t>
  </si>
  <si>
    <t>I2.15: การตรวจ Audit ด้านความปลอดภัยและสิ่งแวดล้อม (Safety &amp; Environment Audit)</t>
  </si>
  <si>
    <t>สถานประกอบการมีระบบและการดำเนินงานด้านการตรวจ Audit ด้านความปลอดภัยและสิ่งแวดล้อมตามมาตรฐานและกฎหมายที่เกี่ยวข้อง</t>
  </si>
  <si>
    <t>รวม คะแนน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</si>
</sst>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22"/>
      <scheme val="minor"/>
    </font>
    <font>
      <b/>
      <sz val="22"/>
      <color rgb="FF000000"/>
      <name val="TH SarabunPSK"/>
    </font>
    <font>
      <sz val="16"/>
      <color theme="1"/>
      <name val="TH SarabunPSK"/>
    </font>
    <font>
      <sz val="18"/>
      <color rgb="FF000000"/>
      <name val="TH SarabunPSK"/>
    </font>
    <font>
      <sz val="16"/>
      <color rgb="FF000000"/>
      <name val="TH SarabunPSK"/>
    </font>
    <font>
      <b/>
      <sz val="18"/>
      <color rgb="FF000000"/>
      <name val="TH SarabunPSK"/>
    </font>
    <font>
      <sz val="10"/>
      <name val="Arial"/>
    </font>
    <font>
      <b/>
      <sz val="16"/>
      <color rgb="FF365F91"/>
      <name val="TH SarabunPSK"/>
    </font>
    <font>
      <b/>
      <sz val="18"/>
      <color theme="1"/>
      <name val="TH SarabunPSK"/>
    </font>
    <font>
      <sz val="18"/>
      <color theme="1"/>
      <name val="Calibri"/>
      <scheme val="minor"/>
    </font>
    <font>
      <sz val="18"/>
      <color theme="1"/>
      <name val="TH SarabunPSK"/>
    </font>
    <font>
      <b/>
      <sz val="18"/>
      <color rgb="FFFF0000"/>
      <name val="TH SarabunPSK"/>
    </font>
    <font>
      <b/>
      <sz val="16"/>
      <color rgb="FF000000"/>
      <name val="TH SarabunPSK"/>
    </font>
    <font>
      <b/>
      <sz val="16"/>
      <color theme="1"/>
      <name val="TH SarabunPSK"/>
    </font>
    <font>
      <b/>
      <sz val="17"/>
      <color rgb="FF4F81BD"/>
      <name val="TH SarabunPSK"/>
    </font>
    <font>
      <sz val="17"/>
      <color rgb="FF000000"/>
      <name val="TH SarabunPSK"/>
    </font>
    <font>
      <b/>
      <sz val="16"/>
      <color rgb="FFFFFFFF"/>
      <name val="TH SarabunPSK"/>
    </font>
    <font>
      <b/>
      <sz val="16"/>
      <color rgb="FF4F81BD"/>
      <name val="TH SarabunPSK"/>
    </font>
    <font>
      <b/>
      <u/>
      <sz val="16"/>
      <color theme="1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</fills>
  <borders count="4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dotted">
        <color rgb="FF4A86E8"/>
      </right>
      <top style="dotted">
        <color rgb="FF4A86E8"/>
      </top>
      <bottom style="dotted">
        <color rgb="FF4A86E8"/>
      </bottom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/>
      <diagonal/>
    </border>
    <border>
      <left style="dotted">
        <color rgb="FF0000FF"/>
      </left>
      <right style="thick">
        <color rgb="FF0000FF"/>
      </right>
      <top style="dotted">
        <color rgb="FF0000FF"/>
      </top>
      <bottom style="dotted">
        <color rgb="FF000000"/>
      </bottom>
      <diagonal/>
    </border>
    <border>
      <left style="dotted">
        <color rgb="FF0000FF"/>
      </left>
      <right style="thick">
        <color rgb="FF0000FF"/>
      </right>
      <top style="dotted">
        <color rgb="FF000000"/>
      </top>
      <bottom style="dotted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2" xfId="0" applyFont="1" applyBorder="1"/>
    <xf numFmtId="0" fontId="6" fillId="0" borderId="3" xfId="0" applyFont="1" applyBorder="1"/>
    <xf numFmtId="0" fontId="3" fillId="2" borderId="1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8" fillId="3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8" fillId="4" borderId="7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wrapText="1"/>
    </xf>
    <xf numFmtId="0" fontId="8" fillId="3" borderId="0" xfId="0" applyFont="1" applyFill="1" applyAlignment="1">
      <alignment horizontal="right" wrapText="1"/>
    </xf>
    <xf numFmtId="0" fontId="8" fillId="5" borderId="10" xfId="0" applyFont="1" applyFill="1" applyBorder="1" applyAlignment="1">
      <alignment horizontal="center" wrapText="1"/>
    </xf>
    <xf numFmtId="2" fontId="11" fillId="6" borderId="11" xfId="0" applyNumberFormat="1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3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12" fillId="0" borderId="0" xfId="0" applyFont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6" fillId="0" borderId="16" xfId="0" applyFont="1" applyBorder="1"/>
    <xf numFmtId="0" fontId="13" fillId="4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2" fillId="0" borderId="0" xfId="0" applyFont="1" applyAlignment="1">
      <alignment vertical="center"/>
    </xf>
    <xf numFmtId="0" fontId="12" fillId="7" borderId="18" xfId="0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2" fillId="7" borderId="21" xfId="0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 wrapText="1"/>
    </xf>
    <xf numFmtId="0" fontId="12" fillId="7" borderId="23" xfId="0" applyFont="1" applyFill="1" applyBorder="1" applyAlignment="1">
      <alignment horizontal="center" vertical="center" wrapText="1"/>
    </xf>
    <xf numFmtId="0" fontId="13" fillId="7" borderId="24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/>
    </xf>
    <xf numFmtId="0" fontId="12" fillId="0" borderId="28" xfId="0" applyFont="1" applyBorder="1" applyAlignment="1">
      <alignment horizontal="left" vertical="top" wrapText="1"/>
    </xf>
    <xf numFmtId="0" fontId="14" fillId="0" borderId="22" xfId="0" applyFont="1" applyBorder="1" applyAlignment="1">
      <alignment vertical="top" wrapText="1"/>
    </xf>
    <xf numFmtId="0" fontId="15" fillId="0" borderId="29" xfId="0" applyFont="1" applyBorder="1" applyAlignment="1">
      <alignment vertical="top" wrapText="1"/>
    </xf>
    <xf numFmtId="0" fontId="15" fillId="0" borderId="30" xfId="0" applyFont="1" applyBorder="1" applyAlignment="1">
      <alignment vertical="top" wrapText="1"/>
    </xf>
    <xf numFmtId="0" fontId="2" fillId="0" borderId="31" xfId="0" applyFont="1" applyBorder="1"/>
    <xf numFmtId="0" fontId="2" fillId="0" borderId="29" xfId="0" applyFont="1" applyBorder="1"/>
    <xf numFmtId="0" fontId="2" fillId="0" borderId="29" xfId="0" applyFont="1" applyBorder="1" applyAlignment="1">
      <alignment horizontal="center" vertical="center"/>
    </xf>
    <xf numFmtId="0" fontId="2" fillId="8" borderId="32" xfId="0" applyFont="1" applyFill="1" applyBorder="1" applyAlignment="1">
      <alignment horizontal="center" vertical="center"/>
    </xf>
    <xf numFmtId="0" fontId="2" fillId="0" borderId="32" xfId="0" applyFont="1" applyBorder="1"/>
    <xf numFmtId="0" fontId="2" fillId="0" borderId="28" xfId="0" applyFont="1" applyBorder="1"/>
    <xf numFmtId="0" fontId="14" fillId="0" borderId="29" xfId="0" applyFont="1" applyBorder="1" applyAlignment="1">
      <alignment vertical="top" wrapText="1"/>
    </xf>
    <xf numFmtId="0" fontId="4" fillId="0" borderId="31" xfId="0" applyFont="1" applyBorder="1"/>
    <xf numFmtId="0" fontId="4" fillId="0" borderId="29" xfId="0" applyFont="1" applyBorder="1"/>
    <xf numFmtId="0" fontId="16" fillId="0" borderId="28" xfId="0" applyFont="1" applyBorder="1" applyAlignment="1">
      <alignment horizontal="center" wrapText="1"/>
    </xf>
    <xf numFmtId="0" fontId="15" fillId="0" borderId="30" xfId="0" applyFont="1" applyBorder="1" applyAlignment="1">
      <alignment vertical="top"/>
    </xf>
    <xf numFmtId="0" fontId="4" fillId="0" borderId="28" xfId="0" applyFont="1" applyBorder="1" applyAlignment="1">
      <alignment wrapText="1"/>
    </xf>
    <xf numFmtId="0" fontId="17" fillId="0" borderId="28" xfId="0" applyFont="1" applyBorder="1" applyAlignment="1">
      <alignment wrapText="1"/>
    </xf>
    <xf numFmtId="0" fontId="2" fillId="0" borderId="33" xfId="0" applyFont="1" applyBorder="1"/>
    <xf numFmtId="0" fontId="14" fillId="0" borderId="34" xfId="0" applyFont="1" applyBorder="1" applyAlignment="1">
      <alignment vertical="top" wrapText="1"/>
    </xf>
    <xf numFmtId="0" fontId="15" fillId="0" borderId="34" xfId="0" applyFont="1" applyBorder="1" applyAlignment="1">
      <alignment vertical="top" wrapText="1"/>
    </xf>
    <xf numFmtId="0" fontId="15" fillId="0" borderId="35" xfId="0" applyFont="1" applyBorder="1" applyAlignment="1">
      <alignment vertical="top" wrapText="1"/>
    </xf>
    <xf numFmtId="0" fontId="2" fillId="0" borderId="36" xfId="0" applyFont="1" applyBorder="1"/>
    <xf numFmtId="0" fontId="2" fillId="0" borderId="34" xfId="0" applyFont="1" applyBorder="1"/>
    <xf numFmtId="0" fontId="2" fillId="0" borderId="37" xfId="0" applyFont="1" applyBorder="1"/>
    <xf numFmtId="0" fontId="18" fillId="0" borderId="0" xfId="0" applyFont="1" applyAlignment="1">
      <alignment horizontal="right"/>
    </xf>
    <xf numFmtId="0" fontId="13" fillId="9" borderId="38" xfId="0" applyFont="1" applyFill="1" applyBorder="1" applyAlignment="1">
      <alignment horizontal="center" vertical="center"/>
    </xf>
    <xf numFmtId="0" fontId="13" fillId="4" borderId="39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0403-3BF3-4936-990D-35ADA2A6BADC}">
  <dimension ref="A1:AD636"/>
  <sheetViews>
    <sheetView tabSelected="1" workbookViewId="0">
      <selection sqref="A1:XFD1048576"/>
    </sheetView>
  </sheetViews>
  <sheetFormatPr defaultColWidth="12.5703125" defaultRowHeight="15"/>
  <cols>
    <col min="1" max="1" width="18.140625" customWidth="1"/>
    <col min="2" max="2" width="18.42578125" customWidth="1"/>
    <col min="3" max="3" width="34.5703125" customWidth="1"/>
    <col min="4" max="4" width="62.42578125" customWidth="1"/>
    <col min="5" max="5" width="14.42578125" customWidth="1"/>
    <col min="6" max="6" width="14.7109375" customWidth="1"/>
    <col min="7" max="7" width="13.42578125" customWidth="1"/>
    <col min="8" max="8" width="11.42578125" customWidth="1"/>
    <col min="9" max="10" width="15" customWidth="1"/>
    <col min="11" max="12" width="17.42578125" customWidth="1"/>
    <col min="13" max="13" width="20" customWidth="1"/>
  </cols>
  <sheetData>
    <row r="1" spans="1:30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27">
      <c r="B2" s="5"/>
      <c r="C2" s="5"/>
      <c r="D2" s="5"/>
      <c r="E2" s="4"/>
      <c r="F2" s="4"/>
      <c r="G2" s="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24.75" thickBot="1">
      <c r="A3" s="7"/>
      <c r="B3" s="7"/>
      <c r="C3" s="7"/>
      <c r="D3" s="4"/>
      <c r="E3" s="4"/>
      <c r="F3" s="4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28.5" thickTop="1" thickBot="1">
      <c r="A4" s="8" t="s">
        <v>1</v>
      </c>
      <c r="B4" s="9"/>
      <c r="C4" s="10"/>
      <c r="D4" s="11" t="s">
        <v>2</v>
      </c>
      <c r="E4" s="9"/>
      <c r="F4" s="9"/>
      <c r="G4" s="9"/>
      <c r="H4" s="9"/>
      <c r="I4" s="9"/>
      <c r="J4" s="9"/>
      <c r="K4" s="10"/>
      <c r="L4" s="1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25.5" thickTop="1" thickBot="1">
      <c r="A5" s="13"/>
      <c r="B5" s="14"/>
      <c r="C5" s="14"/>
      <c r="D5" s="4"/>
      <c r="E5" s="4"/>
      <c r="F5" s="4"/>
      <c r="G5" s="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8" customHeight="1" thickTop="1">
      <c r="A6" s="15"/>
      <c r="B6" s="16"/>
      <c r="C6" s="17"/>
      <c r="D6" s="18"/>
      <c r="E6" s="19"/>
      <c r="F6" s="19"/>
      <c r="G6" s="20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spans="1:30" ht="28.5" customHeight="1">
      <c r="A7" s="21" t="s">
        <v>3</v>
      </c>
      <c r="B7" s="22"/>
      <c r="C7" s="23"/>
      <c r="D7" s="18"/>
      <c r="E7" s="19"/>
      <c r="F7" s="19"/>
      <c r="G7" s="20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spans="1:30" ht="28.5" customHeight="1">
      <c r="A8" s="24" t="s">
        <v>4</v>
      </c>
      <c r="B8" s="22"/>
      <c r="C8" s="23"/>
      <c r="D8" s="18"/>
      <c r="E8" s="19"/>
      <c r="F8" s="19"/>
      <c r="G8" s="20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pans="1:30" ht="28.5" customHeight="1">
      <c r="A9" s="25"/>
      <c r="B9" s="26" t="s">
        <v>5</v>
      </c>
      <c r="C9" s="27">
        <f>H30</f>
        <v>50</v>
      </c>
      <c r="D9" s="4"/>
      <c r="E9" s="4"/>
      <c r="F9" s="4"/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28.5" customHeight="1">
      <c r="A10" s="25"/>
      <c r="B10" s="26" t="s">
        <v>6</v>
      </c>
      <c r="C10" s="28">
        <f>(C9/I30)*100</f>
        <v>62.5</v>
      </c>
      <c r="D10" s="4"/>
      <c r="E10" s="4"/>
      <c r="F10" s="4"/>
      <c r="G10" s="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24.75" thickBot="1">
      <c r="A11" s="29"/>
      <c r="B11" s="30"/>
      <c r="C11" s="31"/>
      <c r="D11" s="4"/>
      <c r="E11" s="4"/>
      <c r="F11" s="4"/>
      <c r="G11" s="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25.5" thickTop="1" thickBot="1">
      <c r="A12" s="14"/>
      <c r="B12" s="14"/>
      <c r="C12" s="14"/>
      <c r="D12" s="4"/>
      <c r="E12" s="4"/>
      <c r="F12" s="4"/>
      <c r="G12" s="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24.75" thickBot="1">
      <c r="A13" s="32"/>
      <c r="B13" s="32"/>
      <c r="C13" s="32"/>
      <c r="D13" s="32"/>
      <c r="E13" s="33" t="s">
        <v>7</v>
      </c>
      <c r="F13" s="34"/>
      <c r="G13" s="34"/>
      <c r="H13" s="34"/>
      <c r="I13" s="34"/>
      <c r="J13" s="35" t="s">
        <v>8</v>
      </c>
      <c r="K13" s="34"/>
      <c r="L13" s="34"/>
      <c r="M13" s="36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</row>
    <row r="14" spans="1:30" ht="72">
      <c r="A14" s="38" t="s">
        <v>9</v>
      </c>
      <c r="B14" s="39" t="s">
        <v>10</v>
      </c>
      <c r="C14" s="39" t="s">
        <v>11</v>
      </c>
      <c r="D14" s="40" t="s">
        <v>12</v>
      </c>
      <c r="E14" s="41" t="s">
        <v>13</v>
      </c>
      <c r="F14" s="42" t="s">
        <v>14</v>
      </c>
      <c r="G14" s="43" t="s">
        <v>15</v>
      </c>
      <c r="H14" s="44" t="s">
        <v>16</v>
      </c>
      <c r="I14" s="45" t="s">
        <v>17</v>
      </c>
      <c r="J14" s="46" t="s">
        <v>18</v>
      </c>
      <c r="K14" s="47" t="s">
        <v>16</v>
      </c>
      <c r="L14" s="48" t="s">
        <v>17</v>
      </c>
      <c r="M14" s="49" t="s">
        <v>19</v>
      </c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</row>
    <row r="15" spans="1:30" ht="262.5">
      <c r="A15" s="50" t="s">
        <v>20</v>
      </c>
      <c r="B15" s="51" t="s">
        <v>21</v>
      </c>
      <c r="C15" s="52" t="s">
        <v>22</v>
      </c>
      <c r="D15" s="53" t="s">
        <v>23</v>
      </c>
      <c r="E15" s="54"/>
      <c r="F15" s="55"/>
      <c r="G15" s="56" t="s">
        <v>24</v>
      </c>
      <c r="H15" s="57" t="str">
        <f t="shared" ref="H15:H29" si="0">IF(G15=0,(0*20),IF(G15=0.25,(0.25*20),IF(G15=0.5,(0.5*20),IF(G15=0.75,(0.75*20),IF(G15=1,(1*20),"NA")))))</f>
        <v>NA</v>
      </c>
      <c r="I15" s="57" t="str">
        <f t="shared" ref="I15:I29" si="1">IF(ISNUMBER(H15),20,H15)</f>
        <v>NA</v>
      </c>
      <c r="J15" s="56" t="s">
        <v>24</v>
      </c>
      <c r="K15" s="57" t="str">
        <f t="shared" ref="K15:K29" si="2">IF(J15=0,(0*20),IF(J15=0.25,(0.25*20),IF(J15=0.5,(0.5*20),IF(J15=0.75,(0.75*20),IF(J15=1,(1*20),"NA")))))</f>
        <v>NA</v>
      </c>
      <c r="L15" s="57" t="str">
        <f t="shared" ref="L15:L29" si="3">IF(ISNUMBER(K15),20,K15)</f>
        <v>NA</v>
      </c>
      <c r="M15" s="5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262.5">
      <c r="A16" s="59"/>
      <c r="B16" s="60" t="s">
        <v>25</v>
      </c>
      <c r="C16" s="52" t="s">
        <v>26</v>
      </c>
      <c r="D16" s="53" t="s">
        <v>23</v>
      </c>
      <c r="E16" s="54"/>
      <c r="F16" s="55"/>
      <c r="G16" s="56">
        <v>1</v>
      </c>
      <c r="H16" s="57">
        <f t="shared" si="0"/>
        <v>20</v>
      </c>
      <c r="I16" s="57">
        <f t="shared" si="1"/>
        <v>20</v>
      </c>
      <c r="J16" s="56">
        <v>0.75</v>
      </c>
      <c r="K16" s="57">
        <f t="shared" si="2"/>
        <v>15</v>
      </c>
      <c r="L16" s="57">
        <f t="shared" si="3"/>
        <v>20</v>
      </c>
      <c r="M16" s="5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262.5">
      <c r="A17" s="59"/>
      <c r="B17" s="60" t="s">
        <v>27</v>
      </c>
      <c r="C17" s="52" t="s">
        <v>28</v>
      </c>
      <c r="D17" s="53" t="s">
        <v>29</v>
      </c>
      <c r="E17" s="61"/>
      <c r="F17" s="62"/>
      <c r="G17" s="56" t="s">
        <v>24</v>
      </c>
      <c r="H17" s="57" t="str">
        <f t="shared" si="0"/>
        <v>NA</v>
      </c>
      <c r="I17" s="57" t="str">
        <f t="shared" si="1"/>
        <v>NA</v>
      </c>
      <c r="J17" s="56">
        <v>0.5</v>
      </c>
      <c r="K17" s="57">
        <f t="shared" si="2"/>
        <v>10</v>
      </c>
      <c r="L17" s="57">
        <f t="shared" si="3"/>
        <v>20</v>
      </c>
      <c r="M17" s="5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83.75">
      <c r="A18" s="63"/>
      <c r="B18" s="60" t="s">
        <v>30</v>
      </c>
      <c r="C18" s="52" t="s">
        <v>31</v>
      </c>
      <c r="D18" s="64" t="s">
        <v>29</v>
      </c>
      <c r="E18" s="61"/>
      <c r="F18" s="62"/>
      <c r="G18" s="56" t="s">
        <v>24</v>
      </c>
      <c r="H18" s="57" t="str">
        <f t="shared" si="0"/>
        <v>NA</v>
      </c>
      <c r="I18" s="57" t="str">
        <f t="shared" si="1"/>
        <v>NA</v>
      </c>
      <c r="J18" s="56" t="s">
        <v>24</v>
      </c>
      <c r="K18" s="57" t="str">
        <f t="shared" si="2"/>
        <v>NA</v>
      </c>
      <c r="L18" s="57" t="str">
        <f t="shared" si="3"/>
        <v>NA</v>
      </c>
      <c r="M18" s="5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262.5">
      <c r="A19" s="65"/>
      <c r="B19" s="60" t="s">
        <v>32</v>
      </c>
      <c r="C19" s="52" t="s">
        <v>33</v>
      </c>
      <c r="D19" s="53" t="s">
        <v>29</v>
      </c>
      <c r="E19" s="61"/>
      <c r="F19" s="62"/>
      <c r="G19" s="56" t="s">
        <v>24</v>
      </c>
      <c r="H19" s="57" t="str">
        <f t="shared" si="0"/>
        <v>NA</v>
      </c>
      <c r="I19" s="57" t="str">
        <f t="shared" si="1"/>
        <v>NA</v>
      </c>
      <c r="J19" s="56" t="s">
        <v>24</v>
      </c>
      <c r="K19" s="57" t="str">
        <f t="shared" si="2"/>
        <v>NA</v>
      </c>
      <c r="L19" s="57" t="str">
        <f t="shared" si="3"/>
        <v>NA</v>
      </c>
      <c r="M19" s="5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262.5">
      <c r="A20" s="59"/>
      <c r="B20" s="60" t="s">
        <v>34</v>
      </c>
      <c r="C20" s="52" t="s">
        <v>35</v>
      </c>
      <c r="D20" s="53" t="s">
        <v>29</v>
      </c>
      <c r="E20" s="54"/>
      <c r="F20" s="55"/>
      <c r="G20" s="56">
        <v>0.5</v>
      </c>
      <c r="H20" s="57">
        <f t="shared" si="0"/>
        <v>10</v>
      </c>
      <c r="I20" s="57">
        <f t="shared" si="1"/>
        <v>20</v>
      </c>
      <c r="J20" s="56" t="s">
        <v>24</v>
      </c>
      <c r="K20" s="57" t="str">
        <f t="shared" si="2"/>
        <v>NA</v>
      </c>
      <c r="L20" s="57" t="str">
        <f t="shared" si="3"/>
        <v>NA</v>
      </c>
      <c r="M20" s="5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262.5">
      <c r="A21" s="66"/>
      <c r="B21" s="60" t="s">
        <v>36</v>
      </c>
      <c r="C21" s="52" t="s">
        <v>37</v>
      </c>
      <c r="D21" s="53" t="s">
        <v>29</v>
      </c>
      <c r="E21" s="54"/>
      <c r="F21" s="55"/>
      <c r="G21" s="56">
        <v>0.75</v>
      </c>
      <c r="H21" s="57">
        <f t="shared" si="0"/>
        <v>15</v>
      </c>
      <c r="I21" s="57">
        <f t="shared" si="1"/>
        <v>20</v>
      </c>
      <c r="J21" s="56" t="s">
        <v>24</v>
      </c>
      <c r="K21" s="57" t="str">
        <f t="shared" si="2"/>
        <v>NA</v>
      </c>
      <c r="L21" s="57" t="str">
        <f t="shared" si="3"/>
        <v>NA</v>
      </c>
      <c r="M21" s="58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262.5">
      <c r="A22" s="66"/>
      <c r="B22" s="60" t="s">
        <v>38</v>
      </c>
      <c r="C22" s="52" t="s">
        <v>39</v>
      </c>
      <c r="D22" s="53" t="s">
        <v>29</v>
      </c>
      <c r="E22" s="54"/>
      <c r="F22" s="55"/>
      <c r="G22" s="56">
        <v>0.25</v>
      </c>
      <c r="H22" s="57">
        <f t="shared" si="0"/>
        <v>5</v>
      </c>
      <c r="I22" s="57">
        <f t="shared" si="1"/>
        <v>20</v>
      </c>
      <c r="J22" s="56" t="s">
        <v>24</v>
      </c>
      <c r="K22" s="57" t="str">
        <f t="shared" si="2"/>
        <v>NA</v>
      </c>
      <c r="L22" s="57" t="str">
        <f t="shared" si="3"/>
        <v>NA</v>
      </c>
      <c r="M22" s="5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262.5">
      <c r="A23" s="59"/>
      <c r="B23" s="60" t="s">
        <v>40</v>
      </c>
      <c r="C23" s="52" t="s">
        <v>41</v>
      </c>
      <c r="D23" s="53" t="s">
        <v>29</v>
      </c>
      <c r="E23" s="54"/>
      <c r="F23" s="55"/>
      <c r="G23" s="56" t="s">
        <v>24</v>
      </c>
      <c r="H23" s="57" t="str">
        <f t="shared" si="0"/>
        <v>NA</v>
      </c>
      <c r="I23" s="57" t="str">
        <f t="shared" si="1"/>
        <v>NA</v>
      </c>
      <c r="J23" s="56" t="s">
        <v>24</v>
      </c>
      <c r="K23" s="57" t="str">
        <f t="shared" si="2"/>
        <v>NA</v>
      </c>
      <c r="L23" s="57" t="str">
        <f t="shared" si="3"/>
        <v>NA</v>
      </c>
      <c r="M23" s="58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262.5">
      <c r="A24" s="59"/>
      <c r="B24" s="60" t="s">
        <v>42</v>
      </c>
      <c r="C24" s="52" t="s">
        <v>43</v>
      </c>
      <c r="D24" s="53" t="s">
        <v>29</v>
      </c>
      <c r="E24" s="54"/>
      <c r="F24" s="55"/>
      <c r="G24" s="56" t="s">
        <v>24</v>
      </c>
      <c r="H24" s="57" t="str">
        <f t="shared" si="0"/>
        <v>NA</v>
      </c>
      <c r="I24" s="57" t="str">
        <f t="shared" si="1"/>
        <v>NA</v>
      </c>
      <c r="J24" s="56" t="s">
        <v>24</v>
      </c>
      <c r="K24" s="57" t="str">
        <f t="shared" si="2"/>
        <v>NA</v>
      </c>
      <c r="L24" s="57" t="str">
        <f t="shared" si="3"/>
        <v>NA</v>
      </c>
      <c r="M24" s="5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262.5">
      <c r="A25" s="59"/>
      <c r="B25" s="60" t="s">
        <v>44</v>
      </c>
      <c r="C25" s="52" t="s">
        <v>45</v>
      </c>
      <c r="D25" s="53" t="s">
        <v>29</v>
      </c>
      <c r="E25" s="54"/>
      <c r="F25" s="55"/>
      <c r="G25" s="56" t="s">
        <v>24</v>
      </c>
      <c r="H25" s="57" t="str">
        <f t="shared" si="0"/>
        <v>NA</v>
      </c>
      <c r="I25" s="57" t="str">
        <f t="shared" si="1"/>
        <v>NA</v>
      </c>
      <c r="J25" s="56" t="s">
        <v>24</v>
      </c>
      <c r="K25" s="57" t="str">
        <f t="shared" si="2"/>
        <v>NA</v>
      </c>
      <c r="L25" s="57" t="str">
        <f t="shared" si="3"/>
        <v>NA</v>
      </c>
      <c r="M25" s="58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262.5">
      <c r="A26" s="59"/>
      <c r="B26" s="60" t="s">
        <v>46</v>
      </c>
      <c r="C26" s="52" t="s">
        <v>47</v>
      </c>
      <c r="D26" s="53" t="s">
        <v>29</v>
      </c>
      <c r="E26" s="54"/>
      <c r="F26" s="55"/>
      <c r="G26" s="56" t="s">
        <v>24</v>
      </c>
      <c r="H26" s="57" t="str">
        <f t="shared" si="0"/>
        <v>NA</v>
      </c>
      <c r="I26" s="57" t="str">
        <f t="shared" si="1"/>
        <v>NA</v>
      </c>
      <c r="J26" s="56" t="s">
        <v>24</v>
      </c>
      <c r="K26" s="57" t="str">
        <f t="shared" si="2"/>
        <v>NA</v>
      </c>
      <c r="L26" s="57" t="str">
        <f t="shared" si="3"/>
        <v>NA</v>
      </c>
      <c r="M26" s="58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262.5">
      <c r="A27" s="59"/>
      <c r="B27" s="60" t="s">
        <v>48</v>
      </c>
      <c r="C27" s="52" t="s">
        <v>49</v>
      </c>
      <c r="D27" s="53" t="s">
        <v>29</v>
      </c>
      <c r="E27" s="54"/>
      <c r="F27" s="55"/>
      <c r="G27" s="56" t="s">
        <v>24</v>
      </c>
      <c r="H27" s="57" t="str">
        <f t="shared" si="0"/>
        <v>NA</v>
      </c>
      <c r="I27" s="57" t="str">
        <f t="shared" si="1"/>
        <v>NA</v>
      </c>
      <c r="J27" s="56" t="s">
        <v>24</v>
      </c>
      <c r="K27" s="57" t="str">
        <f t="shared" si="2"/>
        <v>NA</v>
      </c>
      <c r="L27" s="57" t="str">
        <f t="shared" si="3"/>
        <v>NA</v>
      </c>
      <c r="M27" s="58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262.5">
      <c r="A28" s="59"/>
      <c r="B28" s="60" t="s">
        <v>50</v>
      </c>
      <c r="C28" s="52" t="s">
        <v>51</v>
      </c>
      <c r="D28" s="53" t="s">
        <v>29</v>
      </c>
      <c r="E28" s="54"/>
      <c r="F28" s="55"/>
      <c r="G28" s="56" t="s">
        <v>24</v>
      </c>
      <c r="H28" s="57" t="str">
        <f t="shared" si="0"/>
        <v>NA</v>
      </c>
      <c r="I28" s="57" t="str">
        <f t="shared" si="1"/>
        <v>NA</v>
      </c>
      <c r="J28" s="56" t="s">
        <v>24</v>
      </c>
      <c r="K28" s="57" t="str">
        <f t="shared" si="2"/>
        <v>NA</v>
      </c>
      <c r="L28" s="57" t="str">
        <f t="shared" si="3"/>
        <v>NA</v>
      </c>
      <c r="M28" s="58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263.25" thickBot="1">
      <c r="A29" s="67"/>
      <c r="B29" s="68" t="s">
        <v>52</v>
      </c>
      <c r="C29" s="69" t="s">
        <v>53</v>
      </c>
      <c r="D29" s="70" t="s">
        <v>29</v>
      </c>
      <c r="E29" s="71"/>
      <c r="F29" s="72"/>
      <c r="G29" s="56" t="s">
        <v>24</v>
      </c>
      <c r="H29" s="57" t="str">
        <f t="shared" si="0"/>
        <v>NA</v>
      </c>
      <c r="I29" s="57" t="str">
        <f t="shared" si="1"/>
        <v>NA</v>
      </c>
      <c r="J29" s="56">
        <v>0.75</v>
      </c>
      <c r="K29" s="57">
        <f t="shared" si="2"/>
        <v>15</v>
      </c>
      <c r="L29" s="57">
        <f t="shared" si="3"/>
        <v>20</v>
      </c>
      <c r="M29" s="7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24.75" thickBot="1">
      <c r="A30" s="14"/>
      <c r="B30" s="14"/>
      <c r="C30" s="14"/>
      <c r="D30" s="74" t="s">
        <v>54</v>
      </c>
      <c r="E30" s="4"/>
      <c r="F30" s="4"/>
      <c r="G30" s="75">
        <f>SUM(G15:G29)</f>
        <v>2.5</v>
      </c>
      <c r="H30" s="75">
        <f t="shared" ref="H30:I30" si="4">SUMIF(H15:H29,"&lt;&gt;N/A")</f>
        <v>50</v>
      </c>
      <c r="I30" s="75">
        <f t="shared" si="4"/>
        <v>80</v>
      </c>
      <c r="J30" s="76">
        <f>SUM(J15:J29)</f>
        <v>2</v>
      </c>
      <c r="K30" s="77">
        <f t="shared" ref="K30:L30" si="5">SUMIF(K15:K29,"&lt;&gt;N/A")</f>
        <v>40</v>
      </c>
      <c r="L30" s="77">
        <f t="shared" si="5"/>
        <v>60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8" spans="1:30" ht="24">
      <c r="A38" s="14"/>
      <c r="B38" s="14"/>
      <c r="C38" s="14"/>
      <c r="D38" s="4"/>
      <c r="E38" s="4"/>
      <c r="F38" s="4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24">
      <c r="A39" s="14"/>
      <c r="B39" s="14"/>
      <c r="C39" s="14"/>
      <c r="D39" s="4"/>
      <c r="E39" s="4"/>
      <c r="F39" s="4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24">
      <c r="A40" s="14"/>
      <c r="B40" s="14"/>
      <c r="C40" s="14"/>
      <c r="D40" s="4"/>
      <c r="E40" s="4"/>
      <c r="F40" s="4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24">
      <c r="A41" s="14"/>
      <c r="B41" s="14"/>
      <c r="C41" s="14"/>
      <c r="D41" s="4"/>
      <c r="E41" s="4"/>
      <c r="F41" s="4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24">
      <c r="A42" s="14"/>
      <c r="B42" s="14"/>
      <c r="C42" s="14"/>
      <c r="D42" s="4"/>
      <c r="E42" s="4"/>
      <c r="F42" s="4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24">
      <c r="A43" s="14"/>
      <c r="B43" s="14"/>
      <c r="C43" s="14"/>
      <c r="D43" s="4"/>
      <c r="E43" s="4"/>
      <c r="F43" s="4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24">
      <c r="A44" s="14"/>
      <c r="B44" s="14"/>
      <c r="C44" s="14"/>
      <c r="E44" s="4"/>
      <c r="F44" s="4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24">
      <c r="A45" s="14"/>
      <c r="B45" s="14"/>
      <c r="C45" s="14"/>
      <c r="D45" s="4"/>
      <c r="E45" s="4"/>
      <c r="F45" s="4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24">
      <c r="A46" s="14"/>
      <c r="B46" s="14"/>
      <c r="C46" s="14"/>
      <c r="D46" s="4"/>
      <c r="E46" s="4"/>
      <c r="F46" s="4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24">
      <c r="A47" s="14"/>
      <c r="B47" s="14"/>
      <c r="C47" s="14"/>
      <c r="D47" s="4"/>
      <c r="E47" s="4"/>
      <c r="F47" s="4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24">
      <c r="A48" s="14"/>
      <c r="B48" s="14"/>
      <c r="C48" s="14"/>
      <c r="D48" s="4"/>
      <c r="E48" s="4"/>
      <c r="F48" s="4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24">
      <c r="A49" s="14"/>
      <c r="B49" s="14"/>
      <c r="C49" s="14"/>
      <c r="D49" s="4"/>
      <c r="E49" s="4"/>
      <c r="F49" s="4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24">
      <c r="A50" s="14"/>
      <c r="B50" s="14"/>
      <c r="C50" s="14"/>
      <c r="D50" s="4"/>
      <c r="E50" s="4"/>
      <c r="F50" s="4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24">
      <c r="A51" s="14"/>
      <c r="B51" s="14"/>
      <c r="C51" s="14"/>
      <c r="D51" s="4"/>
      <c r="E51" s="4"/>
      <c r="F51" s="4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24">
      <c r="A52" s="14"/>
      <c r="B52" s="14"/>
      <c r="C52" s="14"/>
      <c r="D52" s="4"/>
      <c r="E52" s="4"/>
      <c r="F52" s="4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24">
      <c r="A53" s="14"/>
      <c r="B53" s="14"/>
      <c r="C53" s="14"/>
      <c r="D53" s="4"/>
      <c r="E53" s="4"/>
      <c r="F53" s="4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24">
      <c r="A54" s="14"/>
      <c r="B54" s="14"/>
      <c r="C54" s="14"/>
      <c r="D54" s="4"/>
      <c r="E54" s="4"/>
      <c r="F54" s="4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24">
      <c r="A55" s="14"/>
      <c r="B55" s="14"/>
      <c r="C55" s="14"/>
      <c r="D55" s="4"/>
      <c r="E55" s="4"/>
      <c r="F55" s="4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24">
      <c r="A56" s="14"/>
      <c r="B56" s="14"/>
      <c r="C56" s="14"/>
      <c r="D56" s="4"/>
      <c r="E56" s="4"/>
      <c r="F56" s="4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24">
      <c r="A57" s="14"/>
      <c r="B57" s="14"/>
      <c r="C57" s="14"/>
      <c r="D57" s="4"/>
      <c r="E57" s="4"/>
      <c r="F57" s="4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24">
      <c r="A58" s="14"/>
      <c r="B58" s="14"/>
      <c r="C58" s="14"/>
      <c r="D58" s="4"/>
      <c r="E58" s="4"/>
      <c r="F58" s="4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24">
      <c r="A59" s="14"/>
      <c r="B59" s="14"/>
      <c r="C59" s="14"/>
      <c r="D59" s="4"/>
      <c r="E59" s="4"/>
      <c r="F59" s="4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24">
      <c r="A60" s="14"/>
      <c r="B60" s="14"/>
      <c r="C60" s="14"/>
      <c r="D60" s="4"/>
      <c r="E60" s="4"/>
      <c r="F60" s="4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24">
      <c r="A61" s="14"/>
      <c r="B61" s="14"/>
      <c r="C61" s="14"/>
      <c r="D61" s="4"/>
      <c r="E61" s="4"/>
      <c r="F61" s="4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24">
      <c r="A62" s="14"/>
      <c r="B62" s="14"/>
      <c r="C62" s="14"/>
      <c r="D62" s="4"/>
      <c r="E62" s="4"/>
      <c r="F62" s="4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24">
      <c r="A63" s="14"/>
      <c r="B63" s="14"/>
      <c r="C63" s="14"/>
      <c r="D63" s="4"/>
      <c r="E63" s="4"/>
      <c r="F63" s="4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24">
      <c r="A64" s="14"/>
      <c r="B64" s="14"/>
      <c r="C64" s="14"/>
      <c r="D64" s="4"/>
      <c r="E64" s="4"/>
      <c r="F64" s="4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24">
      <c r="A65" s="14"/>
      <c r="B65" s="14"/>
      <c r="C65" s="14"/>
      <c r="D65" s="4"/>
      <c r="E65" s="4"/>
      <c r="F65" s="4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24">
      <c r="A66" s="14"/>
      <c r="B66" s="14"/>
      <c r="C66" s="14"/>
      <c r="D66" s="4"/>
      <c r="E66" s="4"/>
      <c r="F66" s="4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24">
      <c r="A67" s="14"/>
      <c r="B67" s="14"/>
      <c r="C67" s="14"/>
      <c r="D67" s="4"/>
      <c r="E67" s="4"/>
      <c r="F67" s="4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24">
      <c r="A68" s="14"/>
      <c r="B68" s="14"/>
      <c r="C68" s="14"/>
      <c r="D68" s="4"/>
      <c r="E68" s="4"/>
      <c r="F68" s="4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24">
      <c r="A69" s="14"/>
      <c r="B69" s="14"/>
      <c r="C69" s="14"/>
      <c r="D69" s="4"/>
      <c r="E69" s="4"/>
      <c r="F69" s="4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24">
      <c r="A70" s="14"/>
      <c r="B70" s="14"/>
      <c r="C70" s="14"/>
      <c r="D70" s="4"/>
      <c r="E70" s="4"/>
      <c r="F70" s="4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24">
      <c r="A71" s="14"/>
      <c r="B71" s="14"/>
      <c r="C71" s="14"/>
      <c r="D71" s="4"/>
      <c r="E71" s="4"/>
      <c r="F71" s="4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24">
      <c r="A72" s="14"/>
      <c r="B72" s="14"/>
      <c r="C72" s="14"/>
      <c r="D72" s="4"/>
      <c r="E72" s="4"/>
      <c r="F72" s="4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24">
      <c r="A73" s="14"/>
      <c r="B73" s="14"/>
      <c r="C73" s="14"/>
      <c r="D73" s="4"/>
      <c r="E73" s="4"/>
      <c r="F73" s="4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24">
      <c r="A74" s="14"/>
      <c r="B74" s="14"/>
      <c r="C74" s="14"/>
      <c r="D74" s="4"/>
      <c r="E74" s="4"/>
      <c r="F74" s="4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24">
      <c r="A75" s="14"/>
      <c r="B75" s="14"/>
      <c r="C75" s="14"/>
      <c r="D75" s="4"/>
      <c r="E75" s="4"/>
      <c r="F75" s="4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24">
      <c r="A76" s="14"/>
      <c r="B76" s="14"/>
      <c r="C76" s="14"/>
      <c r="D76" s="4"/>
      <c r="E76" s="4"/>
      <c r="F76" s="4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24">
      <c r="A77" s="14"/>
      <c r="B77" s="14"/>
      <c r="C77" s="14"/>
      <c r="D77" s="4"/>
      <c r="E77" s="4"/>
      <c r="F77" s="4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24">
      <c r="A78" s="14"/>
      <c r="B78" s="14"/>
      <c r="C78" s="14"/>
      <c r="D78" s="4"/>
      <c r="E78" s="4"/>
      <c r="F78" s="4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24">
      <c r="A79" s="14"/>
      <c r="B79" s="14"/>
      <c r="C79" s="14"/>
      <c r="D79" s="4"/>
      <c r="E79" s="4"/>
      <c r="F79" s="4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24">
      <c r="A80" s="14"/>
      <c r="B80" s="14"/>
      <c r="C80" s="14"/>
      <c r="D80" s="4"/>
      <c r="E80" s="4"/>
      <c r="F80" s="4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24">
      <c r="A81" s="14"/>
      <c r="B81" s="14"/>
      <c r="C81" s="14"/>
      <c r="D81" s="4"/>
      <c r="E81" s="4"/>
      <c r="F81" s="4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24">
      <c r="A82" s="14"/>
      <c r="B82" s="14"/>
      <c r="C82" s="14"/>
      <c r="D82" s="4"/>
      <c r="E82" s="4"/>
      <c r="F82" s="4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24">
      <c r="A83" s="14"/>
      <c r="B83" s="14"/>
      <c r="C83" s="14"/>
      <c r="D83" s="4"/>
      <c r="E83" s="4"/>
      <c r="F83" s="4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24">
      <c r="A84" s="14"/>
      <c r="B84" s="14"/>
      <c r="C84" s="14"/>
      <c r="D84" s="4"/>
      <c r="E84" s="4"/>
      <c r="F84" s="4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24">
      <c r="A85" s="14"/>
      <c r="B85" s="14"/>
      <c r="C85" s="14"/>
      <c r="D85" s="4"/>
      <c r="E85" s="4"/>
      <c r="F85" s="4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24">
      <c r="A86" s="14"/>
      <c r="B86" s="14"/>
      <c r="C86" s="14"/>
      <c r="D86" s="4"/>
      <c r="E86" s="4"/>
      <c r="F86" s="4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24">
      <c r="A87" s="14"/>
      <c r="B87" s="14"/>
      <c r="C87" s="14"/>
      <c r="D87" s="4"/>
      <c r="E87" s="4"/>
      <c r="F87" s="4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24">
      <c r="A88" s="14"/>
      <c r="B88" s="14"/>
      <c r="C88" s="14"/>
      <c r="D88" s="4"/>
      <c r="E88" s="4"/>
      <c r="F88" s="4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24">
      <c r="A89" s="14"/>
      <c r="B89" s="14"/>
      <c r="C89" s="14"/>
      <c r="D89" s="4"/>
      <c r="E89" s="4"/>
      <c r="F89" s="4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24">
      <c r="A90" s="14"/>
      <c r="B90" s="14"/>
      <c r="C90" s="14"/>
      <c r="D90" s="4"/>
      <c r="E90" s="4"/>
      <c r="F90" s="4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24">
      <c r="A91" s="14"/>
      <c r="B91" s="14"/>
      <c r="C91" s="14"/>
      <c r="D91" s="4"/>
      <c r="E91" s="4"/>
      <c r="F91" s="4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24">
      <c r="A92" s="14"/>
      <c r="B92" s="14"/>
      <c r="C92" s="14"/>
      <c r="D92" s="4"/>
      <c r="E92" s="4"/>
      <c r="F92" s="4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24">
      <c r="A93" s="14"/>
      <c r="B93" s="14"/>
      <c r="C93" s="14"/>
      <c r="D93" s="4"/>
      <c r="E93" s="4"/>
      <c r="F93" s="4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24">
      <c r="A94" s="14"/>
      <c r="B94" s="14"/>
      <c r="C94" s="14"/>
      <c r="D94" s="4"/>
      <c r="E94" s="4"/>
      <c r="F94" s="4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24">
      <c r="A95" s="14"/>
      <c r="B95" s="14"/>
      <c r="C95" s="14"/>
      <c r="D95" s="4"/>
      <c r="E95" s="4"/>
      <c r="F95" s="4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24">
      <c r="A96" s="14"/>
      <c r="B96" s="14"/>
      <c r="C96" s="14"/>
      <c r="D96" s="4"/>
      <c r="E96" s="4"/>
      <c r="F96" s="4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24">
      <c r="A97" s="14"/>
      <c r="B97" s="14"/>
      <c r="C97" s="14"/>
      <c r="D97" s="4"/>
      <c r="E97" s="4"/>
      <c r="F97" s="4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24">
      <c r="A98" s="14"/>
      <c r="B98" s="14"/>
      <c r="C98" s="14"/>
      <c r="D98" s="4"/>
      <c r="E98" s="4"/>
      <c r="F98" s="4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24">
      <c r="A99" s="14"/>
      <c r="B99" s="14"/>
      <c r="C99" s="14"/>
      <c r="D99" s="4"/>
      <c r="E99" s="4"/>
      <c r="F99" s="4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24">
      <c r="A100" s="14"/>
      <c r="B100" s="14"/>
      <c r="C100" s="14"/>
      <c r="D100" s="4"/>
      <c r="E100" s="4"/>
      <c r="F100" s="4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24">
      <c r="A101" s="14"/>
      <c r="B101" s="14"/>
      <c r="C101" s="14"/>
      <c r="D101" s="4"/>
      <c r="E101" s="4"/>
      <c r="F101" s="4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24">
      <c r="A102" s="14"/>
      <c r="B102" s="14"/>
      <c r="C102" s="14"/>
      <c r="D102" s="4"/>
      <c r="E102" s="4"/>
      <c r="F102" s="4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24">
      <c r="A103" s="14"/>
      <c r="B103" s="14"/>
      <c r="C103" s="14"/>
      <c r="D103" s="4"/>
      <c r="E103" s="4"/>
      <c r="F103" s="4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24">
      <c r="A104" s="14"/>
      <c r="B104" s="14"/>
      <c r="C104" s="14"/>
      <c r="D104" s="4"/>
      <c r="E104" s="4"/>
      <c r="F104" s="4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24">
      <c r="A105" s="14"/>
      <c r="B105" s="14"/>
      <c r="C105" s="14"/>
      <c r="D105" s="4"/>
      <c r="E105" s="4"/>
      <c r="F105" s="4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24">
      <c r="A106" s="14"/>
      <c r="B106" s="14"/>
      <c r="C106" s="14"/>
      <c r="D106" s="4"/>
      <c r="E106" s="4"/>
      <c r="F106" s="4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24">
      <c r="A107" s="14"/>
      <c r="B107" s="14"/>
      <c r="C107" s="14"/>
      <c r="D107" s="4"/>
      <c r="E107" s="4"/>
      <c r="F107" s="4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24">
      <c r="A108" s="14"/>
      <c r="B108" s="14"/>
      <c r="C108" s="14"/>
      <c r="D108" s="4"/>
      <c r="E108" s="4"/>
      <c r="F108" s="4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24">
      <c r="A109" s="14"/>
      <c r="B109" s="14"/>
      <c r="C109" s="14"/>
      <c r="D109" s="4"/>
      <c r="E109" s="4"/>
      <c r="F109" s="4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24">
      <c r="A110" s="14"/>
      <c r="B110" s="14"/>
      <c r="C110" s="14"/>
      <c r="D110" s="4"/>
      <c r="E110" s="4"/>
      <c r="F110" s="4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24">
      <c r="A111" s="14"/>
      <c r="B111" s="14"/>
      <c r="C111" s="14"/>
      <c r="D111" s="4"/>
      <c r="E111" s="4"/>
      <c r="F111" s="4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24">
      <c r="A112" s="14"/>
      <c r="B112" s="14"/>
      <c r="C112" s="14"/>
      <c r="D112" s="4"/>
      <c r="E112" s="4"/>
      <c r="F112" s="4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24">
      <c r="A113" s="14"/>
      <c r="B113" s="14"/>
      <c r="C113" s="14"/>
      <c r="D113" s="4"/>
      <c r="E113" s="4"/>
      <c r="F113" s="4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24">
      <c r="A114" s="14"/>
      <c r="B114" s="14"/>
      <c r="C114" s="14"/>
      <c r="D114" s="4"/>
      <c r="E114" s="4"/>
      <c r="F114" s="4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24">
      <c r="A115" s="14"/>
      <c r="B115" s="14"/>
      <c r="C115" s="14"/>
      <c r="D115" s="4"/>
      <c r="E115" s="4"/>
      <c r="F115" s="4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24">
      <c r="A116" s="14"/>
      <c r="B116" s="14"/>
      <c r="C116" s="14"/>
      <c r="D116" s="4"/>
      <c r="E116" s="4"/>
      <c r="F116" s="4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24">
      <c r="A117" s="14"/>
      <c r="B117" s="14"/>
      <c r="C117" s="14"/>
      <c r="D117" s="4"/>
      <c r="E117" s="4"/>
      <c r="F117" s="4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24">
      <c r="A118" s="14"/>
      <c r="B118" s="14"/>
      <c r="C118" s="14"/>
      <c r="D118" s="4"/>
      <c r="E118" s="4"/>
      <c r="F118" s="4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24">
      <c r="A119" s="14"/>
      <c r="B119" s="14"/>
      <c r="C119" s="14"/>
      <c r="D119" s="4"/>
      <c r="E119" s="4"/>
      <c r="F119" s="4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24">
      <c r="A120" s="14"/>
      <c r="B120" s="14"/>
      <c r="C120" s="14"/>
      <c r="D120" s="4"/>
      <c r="E120" s="4"/>
      <c r="F120" s="4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24">
      <c r="A121" s="14"/>
      <c r="B121" s="14"/>
      <c r="C121" s="14"/>
      <c r="D121" s="4"/>
      <c r="E121" s="4"/>
      <c r="F121" s="4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24">
      <c r="A122" s="14"/>
      <c r="B122" s="14"/>
      <c r="C122" s="14"/>
      <c r="D122" s="4"/>
      <c r="E122" s="4"/>
      <c r="F122" s="4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24">
      <c r="A123" s="14"/>
      <c r="B123" s="14"/>
      <c r="C123" s="14"/>
      <c r="D123" s="4"/>
      <c r="E123" s="4"/>
      <c r="F123" s="4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24">
      <c r="A124" s="14"/>
      <c r="B124" s="14"/>
      <c r="C124" s="14"/>
      <c r="D124" s="4"/>
      <c r="E124" s="4"/>
      <c r="F124" s="4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24">
      <c r="A125" s="14"/>
      <c r="B125" s="14"/>
      <c r="C125" s="14"/>
      <c r="D125" s="4"/>
      <c r="E125" s="4"/>
      <c r="F125" s="4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24">
      <c r="A126" s="14"/>
      <c r="B126" s="14"/>
      <c r="C126" s="14"/>
      <c r="D126" s="4"/>
      <c r="E126" s="4"/>
      <c r="F126" s="4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24">
      <c r="A127" s="14"/>
      <c r="B127" s="14"/>
      <c r="C127" s="14"/>
      <c r="D127" s="4"/>
      <c r="E127" s="4"/>
      <c r="F127" s="4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24">
      <c r="A128" s="14"/>
      <c r="B128" s="14"/>
      <c r="C128" s="14"/>
      <c r="D128" s="4"/>
      <c r="E128" s="4"/>
      <c r="F128" s="4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24">
      <c r="A129" s="14"/>
      <c r="B129" s="14"/>
      <c r="C129" s="14"/>
      <c r="D129" s="4"/>
      <c r="E129" s="4"/>
      <c r="F129" s="4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24">
      <c r="A130" s="14"/>
      <c r="B130" s="14"/>
      <c r="C130" s="14"/>
      <c r="D130" s="4"/>
      <c r="E130" s="4"/>
      <c r="F130" s="4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24">
      <c r="A131" s="14"/>
      <c r="B131" s="14"/>
      <c r="C131" s="14"/>
      <c r="D131" s="4"/>
      <c r="E131" s="4"/>
      <c r="F131" s="4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24">
      <c r="A132" s="14"/>
      <c r="B132" s="14"/>
      <c r="C132" s="14"/>
      <c r="D132" s="4"/>
      <c r="E132" s="4"/>
      <c r="F132" s="4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24">
      <c r="A133" s="14"/>
      <c r="B133" s="14"/>
      <c r="C133" s="14"/>
      <c r="D133" s="4"/>
      <c r="E133" s="4"/>
      <c r="F133" s="4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24">
      <c r="A134" s="14"/>
      <c r="B134" s="14"/>
      <c r="C134" s="14"/>
      <c r="D134" s="4"/>
      <c r="E134" s="4"/>
      <c r="F134" s="4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24">
      <c r="A135" s="14"/>
      <c r="B135" s="14"/>
      <c r="C135" s="14"/>
      <c r="D135" s="4"/>
      <c r="E135" s="4"/>
      <c r="F135" s="4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24">
      <c r="A136" s="14"/>
      <c r="B136" s="14"/>
      <c r="C136" s="14"/>
      <c r="D136" s="4"/>
      <c r="E136" s="4"/>
      <c r="F136" s="4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24">
      <c r="A137" s="14"/>
      <c r="B137" s="14"/>
      <c r="C137" s="14"/>
      <c r="D137" s="4"/>
      <c r="E137" s="4"/>
      <c r="F137" s="4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24">
      <c r="A138" s="14"/>
      <c r="B138" s="14"/>
      <c r="C138" s="14"/>
      <c r="D138" s="4"/>
      <c r="E138" s="4"/>
      <c r="F138" s="4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24">
      <c r="A139" s="14"/>
      <c r="B139" s="14"/>
      <c r="C139" s="14"/>
      <c r="D139" s="4"/>
      <c r="E139" s="4"/>
      <c r="F139" s="4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24">
      <c r="A140" s="14"/>
      <c r="B140" s="14"/>
      <c r="C140" s="14"/>
      <c r="D140" s="4"/>
      <c r="E140" s="4"/>
      <c r="F140" s="4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24">
      <c r="A141" s="14"/>
      <c r="B141" s="14"/>
      <c r="C141" s="14"/>
      <c r="D141" s="4"/>
      <c r="E141" s="4"/>
      <c r="F141" s="4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24">
      <c r="A142" s="14"/>
      <c r="B142" s="14"/>
      <c r="C142" s="14"/>
      <c r="D142" s="4"/>
      <c r="E142" s="4"/>
      <c r="F142" s="4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24">
      <c r="A143" s="14"/>
      <c r="B143" s="14"/>
      <c r="C143" s="14"/>
      <c r="D143" s="4"/>
      <c r="E143" s="4"/>
      <c r="F143" s="4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24">
      <c r="A144" s="14"/>
      <c r="B144" s="14"/>
      <c r="C144" s="14"/>
      <c r="D144" s="4"/>
      <c r="E144" s="4"/>
      <c r="F144" s="4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24">
      <c r="A145" s="14"/>
      <c r="B145" s="14"/>
      <c r="C145" s="14"/>
      <c r="D145" s="4"/>
      <c r="E145" s="4"/>
      <c r="F145" s="4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24">
      <c r="A146" s="14"/>
      <c r="B146" s="14"/>
      <c r="C146" s="14"/>
      <c r="D146" s="4"/>
      <c r="E146" s="4"/>
      <c r="F146" s="4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24">
      <c r="A147" s="14"/>
      <c r="B147" s="14"/>
      <c r="C147" s="14"/>
      <c r="D147" s="4"/>
      <c r="E147" s="4"/>
      <c r="F147" s="4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24">
      <c r="A148" s="14"/>
      <c r="B148" s="14"/>
      <c r="C148" s="14"/>
      <c r="D148" s="4"/>
      <c r="E148" s="4"/>
      <c r="F148" s="4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24">
      <c r="A149" s="14"/>
      <c r="B149" s="14"/>
      <c r="C149" s="14"/>
      <c r="D149" s="4"/>
      <c r="E149" s="4"/>
      <c r="F149" s="4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24">
      <c r="A150" s="14"/>
      <c r="B150" s="14"/>
      <c r="C150" s="14"/>
      <c r="D150" s="4"/>
      <c r="E150" s="4"/>
      <c r="F150" s="4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24">
      <c r="A151" s="14"/>
      <c r="B151" s="14"/>
      <c r="C151" s="14"/>
      <c r="D151" s="4"/>
      <c r="E151" s="4"/>
      <c r="F151" s="4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24">
      <c r="A152" s="14"/>
      <c r="B152" s="14"/>
      <c r="C152" s="14"/>
      <c r="D152" s="4"/>
      <c r="E152" s="4"/>
      <c r="F152" s="4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24">
      <c r="A153" s="14"/>
      <c r="B153" s="14"/>
      <c r="C153" s="14"/>
      <c r="D153" s="4"/>
      <c r="E153" s="4"/>
      <c r="F153" s="4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24">
      <c r="A154" s="14"/>
      <c r="B154" s="14"/>
      <c r="C154" s="14"/>
      <c r="D154" s="4"/>
      <c r="E154" s="4"/>
      <c r="F154" s="4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24">
      <c r="A155" s="14"/>
      <c r="B155" s="14"/>
      <c r="C155" s="14"/>
      <c r="D155" s="4"/>
      <c r="E155" s="4"/>
      <c r="F155" s="4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24">
      <c r="A156" s="14"/>
      <c r="B156" s="14"/>
      <c r="C156" s="14"/>
      <c r="D156" s="4"/>
      <c r="E156" s="4"/>
      <c r="F156" s="4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24">
      <c r="A157" s="14"/>
      <c r="B157" s="14"/>
      <c r="C157" s="14"/>
      <c r="D157" s="4"/>
      <c r="E157" s="4"/>
      <c r="F157" s="4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24">
      <c r="A158" s="14"/>
      <c r="B158" s="14"/>
      <c r="C158" s="14"/>
      <c r="D158" s="4"/>
      <c r="E158" s="4"/>
      <c r="F158" s="4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24">
      <c r="A159" s="14"/>
      <c r="B159" s="14"/>
      <c r="C159" s="14"/>
      <c r="D159" s="4"/>
      <c r="E159" s="4"/>
      <c r="F159" s="4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24">
      <c r="A160" s="14"/>
      <c r="B160" s="14"/>
      <c r="C160" s="14"/>
      <c r="D160" s="4"/>
      <c r="E160" s="4"/>
      <c r="F160" s="4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24">
      <c r="A161" s="14"/>
      <c r="B161" s="14"/>
      <c r="C161" s="14"/>
      <c r="D161" s="4"/>
      <c r="E161" s="4"/>
      <c r="F161" s="4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24">
      <c r="A162" s="14"/>
      <c r="B162" s="14"/>
      <c r="C162" s="14"/>
      <c r="D162" s="4"/>
      <c r="E162" s="4"/>
      <c r="F162" s="4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24">
      <c r="A163" s="14"/>
      <c r="B163" s="14"/>
      <c r="C163" s="14"/>
      <c r="D163" s="4"/>
      <c r="E163" s="4"/>
      <c r="F163" s="4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24">
      <c r="A164" s="14"/>
      <c r="B164" s="14"/>
      <c r="C164" s="14"/>
      <c r="D164" s="4"/>
      <c r="E164" s="4"/>
      <c r="F164" s="4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24">
      <c r="A165" s="14"/>
      <c r="B165" s="14"/>
      <c r="C165" s="14"/>
      <c r="D165" s="4"/>
      <c r="E165" s="4"/>
      <c r="F165" s="4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24">
      <c r="A166" s="14"/>
      <c r="B166" s="14"/>
      <c r="C166" s="14"/>
      <c r="D166" s="4"/>
      <c r="E166" s="4"/>
      <c r="F166" s="4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24">
      <c r="A167" s="14"/>
      <c r="B167" s="14"/>
      <c r="C167" s="14"/>
      <c r="D167" s="4"/>
      <c r="E167" s="4"/>
      <c r="F167" s="4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24">
      <c r="A168" s="14"/>
      <c r="B168" s="14"/>
      <c r="C168" s="14"/>
      <c r="D168" s="4"/>
      <c r="E168" s="4"/>
      <c r="F168" s="4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24">
      <c r="A169" s="14"/>
      <c r="B169" s="14"/>
      <c r="C169" s="14"/>
      <c r="D169" s="4"/>
      <c r="E169" s="4"/>
      <c r="F169" s="4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24">
      <c r="A170" s="14"/>
      <c r="B170" s="14"/>
      <c r="C170" s="14"/>
      <c r="D170" s="4"/>
      <c r="E170" s="4"/>
      <c r="F170" s="4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24">
      <c r="A171" s="14"/>
      <c r="B171" s="14"/>
      <c r="C171" s="14"/>
      <c r="D171" s="4"/>
      <c r="E171" s="4"/>
      <c r="F171" s="4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24">
      <c r="A172" s="14"/>
      <c r="B172" s="14"/>
      <c r="C172" s="14"/>
      <c r="D172" s="4"/>
      <c r="E172" s="4"/>
      <c r="F172" s="4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24">
      <c r="A173" s="14"/>
      <c r="B173" s="14"/>
      <c r="C173" s="14"/>
      <c r="D173" s="4"/>
      <c r="E173" s="4"/>
      <c r="F173" s="4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24">
      <c r="A174" s="14"/>
      <c r="B174" s="14"/>
      <c r="C174" s="14"/>
      <c r="D174" s="4"/>
      <c r="E174" s="4"/>
      <c r="F174" s="4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24">
      <c r="A175" s="14"/>
      <c r="B175" s="14"/>
      <c r="C175" s="14"/>
      <c r="D175" s="4"/>
      <c r="E175" s="4"/>
      <c r="F175" s="4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24">
      <c r="A176" s="14"/>
      <c r="B176" s="14"/>
      <c r="C176" s="14"/>
      <c r="D176" s="4"/>
      <c r="E176" s="4"/>
      <c r="F176" s="4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24">
      <c r="A177" s="14"/>
      <c r="B177" s="14"/>
      <c r="C177" s="14"/>
      <c r="D177" s="4"/>
      <c r="E177" s="4"/>
      <c r="F177" s="4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24">
      <c r="A178" s="14"/>
      <c r="B178" s="14"/>
      <c r="C178" s="14"/>
      <c r="D178" s="4"/>
      <c r="E178" s="4"/>
      <c r="F178" s="4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24">
      <c r="A179" s="14"/>
      <c r="B179" s="14"/>
      <c r="C179" s="14"/>
      <c r="D179" s="4"/>
      <c r="E179" s="4"/>
      <c r="F179" s="4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24">
      <c r="A180" s="14"/>
      <c r="B180" s="14"/>
      <c r="C180" s="14"/>
      <c r="D180" s="4"/>
      <c r="E180" s="4"/>
      <c r="F180" s="4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24">
      <c r="A181" s="14"/>
      <c r="B181" s="14"/>
      <c r="C181" s="14"/>
      <c r="D181" s="4"/>
      <c r="E181" s="4"/>
      <c r="F181" s="4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24">
      <c r="A182" s="14"/>
      <c r="B182" s="14"/>
      <c r="C182" s="14"/>
      <c r="D182" s="4"/>
      <c r="E182" s="4"/>
      <c r="F182" s="4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24">
      <c r="A183" s="14"/>
      <c r="B183" s="14"/>
      <c r="C183" s="14"/>
      <c r="D183" s="4"/>
      <c r="E183" s="4"/>
      <c r="F183" s="4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24">
      <c r="A184" s="14"/>
      <c r="B184" s="14"/>
      <c r="C184" s="14"/>
      <c r="D184" s="4"/>
      <c r="E184" s="4"/>
      <c r="F184" s="4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24">
      <c r="A185" s="14"/>
      <c r="B185" s="14"/>
      <c r="C185" s="14"/>
      <c r="D185" s="4"/>
      <c r="E185" s="4"/>
      <c r="F185" s="4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24">
      <c r="A186" s="14"/>
      <c r="B186" s="14"/>
      <c r="C186" s="14"/>
      <c r="D186" s="4"/>
      <c r="E186" s="4"/>
      <c r="F186" s="4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24">
      <c r="A187" s="14"/>
      <c r="B187" s="14"/>
      <c r="C187" s="14"/>
      <c r="D187" s="4"/>
      <c r="E187" s="4"/>
      <c r="F187" s="4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24">
      <c r="A188" s="14"/>
      <c r="B188" s="14"/>
      <c r="C188" s="14"/>
      <c r="D188" s="4"/>
      <c r="E188" s="4"/>
      <c r="F188" s="4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24">
      <c r="A189" s="14"/>
      <c r="B189" s="14"/>
      <c r="C189" s="14"/>
      <c r="D189" s="4"/>
      <c r="E189" s="4"/>
      <c r="F189" s="4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24">
      <c r="A190" s="14"/>
      <c r="B190" s="14"/>
      <c r="C190" s="14"/>
      <c r="D190" s="4"/>
      <c r="E190" s="4"/>
      <c r="F190" s="4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24">
      <c r="A191" s="14"/>
      <c r="B191" s="14"/>
      <c r="C191" s="14"/>
      <c r="D191" s="4"/>
      <c r="E191" s="4"/>
      <c r="F191" s="4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24">
      <c r="A192" s="14"/>
      <c r="B192" s="14"/>
      <c r="C192" s="14"/>
      <c r="D192" s="4"/>
      <c r="E192" s="4"/>
      <c r="F192" s="4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24">
      <c r="A193" s="14"/>
      <c r="B193" s="14"/>
      <c r="C193" s="14"/>
      <c r="D193" s="4"/>
      <c r="E193" s="4"/>
      <c r="F193" s="4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24">
      <c r="A194" s="14"/>
      <c r="B194" s="14"/>
      <c r="C194" s="14"/>
      <c r="D194" s="4"/>
      <c r="E194" s="4"/>
      <c r="F194" s="4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24">
      <c r="A195" s="14"/>
      <c r="B195" s="14"/>
      <c r="C195" s="14"/>
      <c r="D195" s="4"/>
      <c r="E195" s="4"/>
      <c r="F195" s="4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24">
      <c r="A196" s="14"/>
      <c r="B196" s="14"/>
      <c r="C196" s="14"/>
      <c r="D196" s="4"/>
      <c r="E196" s="4"/>
      <c r="F196" s="4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24">
      <c r="A197" s="14"/>
      <c r="B197" s="14"/>
      <c r="C197" s="14"/>
      <c r="D197" s="4"/>
      <c r="E197" s="4"/>
      <c r="F197" s="4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24">
      <c r="A198" s="14"/>
      <c r="B198" s="14"/>
      <c r="C198" s="14"/>
      <c r="D198" s="4"/>
      <c r="E198" s="4"/>
      <c r="F198" s="4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24">
      <c r="A199" s="14"/>
      <c r="B199" s="14"/>
      <c r="C199" s="14"/>
      <c r="D199" s="4"/>
      <c r="E199" s="4"/>
      <c r="F199" s="4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24">
      <c r="A200" s="14"/>
      <c r="B200" s="14"/>
      <c r="C200" s="14"/>
      <c r="D200" s="4"/>
      <c r="E200" s="4"/>
      <c r="F200" s="4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24">
      <c r="A201" s="14"/>
      <c r="B201" s="14"/>
      <c r="C201" s="14"/>
      <c r="D201" s="4"/>
      <c r="E201" s="4"/>
      <c r="F201" s="4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24">
      <c r="A202" s="14"/>
      <c r="B202" s="14"/>
      <c r="C202" s="14"/>
      <c r="D202" s="4"/>
      <c r="E202" s="4"/>
      <c r="F202" s="4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24">
      <c r="A203" s="14"/>
      <c r="B203" s="14"/>
      <c r="C203" s="14"/>
      <c r="D203" s="4"/>
      <c r="E203" s="4"/>
      <c r="F203" s="4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24">
      <c r="A204" s="14"/>
      <c r="B204" s="14"/>
      <c r="C204" s="14"/>
      <c r="D204" s="4"/>
      <c r="E204" s="4"/>
      <c r="F204" s="4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24">
      <c r="A205" s="14"/>
      <c r="B205" s="14"/>
      <c r="C205" s="14"/>
      <c r="D205" s="4"/>
      <c r="E205" s="4"/>
      <c r="F205" s="4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24">
      <c r="A206" s="14"/>
      <c r="B206" s="14"/>
      <c r="C206" s="14"/>
      <c r="D206" s="4"/>
      <c r="E206" s="4"/>
      <c r="F206" s="4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24">
      <c r="A207" s="14"/>
      <c r="B207" s="14"/>
      <c r="C207" s="14"/>
      <c r="D207" s="4"/>
      <c r="E207" s="4"/>
      <c r="F207" s="4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24">
      <c r="A208" s="14"/>
      <c r="B208" s="14"/>
      <c r="C208" s="14"/>
      <c r="D208" s="4"/>
      <c r="E208" s="4"/>
      <c r="F208" s="4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24">
      <c r="A209" s="14"/>
      <c r="B209" s="14"/>
      <c r="C209" s="14"/>
      <c r="D209" s="4"/>
      <c r="E209" s="4"/>
      <c r="F209" s="4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24">
      <c r="A210" s="14"/>
      <c r="B210" s="14"/>
      <c r="C210" s="14"/>
      <c r="D210" s="4"/>
      <c r="E210" s="4"/>
      <c r="F210" s="4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24">
      <c r="A211" s="14"/>
      <c r="B211" s="14"/>
      <c r="C211" s="14"/>
      <c r="D211" s="4"/>
      <c r="E211" s="4"/>
      <c r="F211" s="4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24">
      <c r="A212" s="14"/>
      <c r="B212" s="14"/>
      <c r="C212" s="14"/>
      <c r="D212" s="4"/>
      <c r="E212" s="4"/>
      <c r="F212" s="4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24">
      <c r="A213" s="14"/>
      <c r="B213" s="14"/>
      <c r="C213" s="14"/>
      <c r="D213" s="4"/>
      <c r="E213" s="4"/>
      <c r="F213" s="4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24">
      <c r="A214" s="14"/>
      <c r="B214" s="14"/>
      <c r="C214" s="14"/>
      <c r="D214" s="4"/>
      <c r="E214" s="4"/>
      <c r="F214" s="4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24">
      <c r="A215" s="14"/>
      <c r="B215" s="14"/>
      <c r="C215" s="14"/>
      <c r="D215" s="4"/>
      <c r="E215" s="4"/>
      <c r="F215" s="4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24">
      <c r="A216" s="14"/>
      <c r="B216" s="14"/>
      <c r="C216" s="14"/>
      <c r="D216" s="4"/>
      <c r="E216" s="4"/>
      <c r="F216" s="4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24">
      <c r="A217" s="14"/>
      <c r="B217" s="14"/>
      <c r="C217" s="14"/>
      <c r="D217" s="4"/>
      <c r="E217" s="4"/>
      <c r="F217" s="4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24">
      <c r="A218" s="14"/>
      <c r="B218" s="14"/>
      <c r="C218" s="14"/>
      <c r="D218" s="4"/>
      <c r="E218" s="4"/>
      <c r="F218" s="4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24">
      <c r="A219" s="14"/>
      <c r="B219" s="14"/>
      <c r="C219" s="14"/>
      <c r="D219" s="4"/>
      <c r="E219" s="4"/>
      <c r="F219" s="4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24">
      <c r="A220" s="14"/>
      <c r="B220" s="14"/>
      <c r="C220" s="14"/>
      <c r="D220" s="4"/>
      <c r="E220" s="4"/>
      <c r="F220" s="4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24">
      <c r="A221" s="14"/>
      <c r="B221" s="14"/>
      <c r="C221" s="14"/>
      <c r="D221" s="4"/>
      <c r="E221" s="4"/>
      <c r="F221" s="4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24">
      <c r="A222" s="14"/>
      <c r="B222" s="14"/>
      <c r="C222" s="14"/>
      <c r="D222" s="4"/>
      <c r="E222" s="4"/>
      <c r="F222" s="4"/>
      <c r="G222" s="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24">
      <c r="A223" s="14"/>
      <c r="B223" s="14"/>
      <c r="C223" s="14"/>
      <c r="D223" s="4"/>
      <c r="E223" s="4"/>
      <c r="F223" s="4"/>
      <c r="G223" s="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24">
      <c r="A224" s="14"/>
      <c r="B224" s="14"/>
      <c r="C224" s="14"/>
      <c r="D224" s="4"/>
      <c r="E224" s="4"/>
      <c r="F224" s="4"/>
      <c r="G224" s="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24">
      <c r="A225" s="14"/>
      <c r="B225" s="14"/>
      <c r="C225" s="14"/>
      <c r="D225" s="4"/>
      <c r="E225" s="4"/>
      <c r="F225" s="4"/>
      <c r="G225" s="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24">
      <c r="A226" s="14"/>
      <c r="B226" s="14"/>
      <c r="C226" s="14"/>
      <c r="D226" s="4"/>
      <c r="E226" s="4"/>
      <c r="F226" s="4"/>
      <c r="G226" s="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24">
      <c r="A227" s="14"/>
      <c r="B227" s="14"/>
      <c r="C227" s="14"/>
      <c r="D227" s="4"/>
      <c r="E227" s="4"/>
      <c r="F227" s="4"/>
      <c r="G227" s="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24">
      <c r="A228" s="14"/>
      <c r="B228" s="14"/>
      <c r="C228" s="14"/>
      <c r="D228" s="4"/>
      <c r="E228" s="4"/>
      <c r="F228" s="4"/>
      <c r="G228" s="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24">
      <c r="A229" s="14"/>
      <c r="B229" s="14"/>
      <c r="C229" s="14"/>
      <c r="D229" s="4"/>
      <c r="E229" s="4"/>
      <c r="F229" s="4"/>
      <c r="G229" s="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24">
      <c r="A230" s="14"/>
      <c r="B230" s="14"/>
      <c r="C230" s="14"/>
      <c r="D230" s="4"/>
      <c r="E230" s="4"/>
      <c r="F230" s="4"/>
      <c r="G230" s="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24">
      <c r="A231" s="14"/>
      <c r="B231" s="14"/>
      <c r="C231" s="14"/>
      <c r="D231" s="4"/>
      <c r="E231" s="4"/>
      <c r="F231" s="4"/>
      <c r="G231" s="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24">
      <c r="A232" s="14"/>
      <c r="B232" s="14"/>
      <c r="C232" s="14"/>
      <c r="D232" s="4"/>
      <c r="E232" s="4"/>
      <c r="F232" s="4"/>
      <c r="G232" s="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24">
      <c r="A233" s="14"/>
      <c r="B233" s="14"/>
      <c r="C233" s="14"/>
      <c r="D233" s="4"/>
      <c r="E233" s="4"/>
      <c r="F233" s="4"/>
      <c r="G233" s="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24">
      <c r="A234" s="14"/>
      <c r="B234" s="14"/>
      <c r="C234" s="14"/>
      <c r="D234" s="4"/>
      <c r="E234" s="4"/>
      <c r="F234" s="4"/>
      <c r="G234" s="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24">
      <c r="A235" s="14"/>
      <c r="B235" s="14"/>
      <c r="C235" s="14"/>
      <c r="D235" s="4"/>
      <c r="E235" s="4"/>
      <c r="F235" s="4"/>
      <c r="G235" s="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24">
      <c r="A236" s="14"/>
      <c r="B236" s="14"/>
      <c r="C236" s="14"/>
      <c r="D236" s="4"/>
      <c r="E236" s="4"/>
      <c r="F236" s="4"/>
      <c r="G236" s="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24">
      <c r="A237" s="14"/>
      <c r="B237" s="14"/>
      <c r="C237" s="14"/>
      <c r="D237" s="4"/>
      <c r="E237" s="4"/>
      <c r="F237" s="4"/>
      <c r="G237" s="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24">
      <c r="A238" s="14"/>
      <c r="B238" s="14"/>
      <c r="C238" s="14"/>
      <c r="D238" s="4"/>
      <c r="E238" s="4"/>
      <c r="F238" s="4"/>
      <c r="G238" s="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24">
      <c r="A239" s="14"/>
      <c r="B239" s="14"/>
      <c r="C239" s="14"/>
      <c r="D239" s="4"/>
      <c r="E239" s="4"/>
      <c r="F239" s="4"/>
      <c r="G239" s="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24">
      <c r="A240" s="14"/>
      <c r="B240" s="14"/>
      <c r="C240" s="14"/>
      <c r="D240" s="4"/>
      <c r="E240" s="4"/>
      <c r="F240" s="4"/>
      <c r="G240" s="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24">
      <c r="A241" s="14"/>
      <c r="B241" s="14"/>
      <c r="C241" s="14"/>
      <c r="D241" s="4"/>
      <c r="E241" s="4"/>
      <c r="F241" s="4"/>
      <c r="G241" s="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24">
      <c r="A242" s="14"/>
      <c r="B242" s="14"/>
      <c r="C242" s="14"/>
      <c r="D242" s="4"/>
      <c r="E242" s="4"/>
      <c r="F242" s="4"/>
      <c r="G242" s="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24">
      <c r="A243" s="14"/>
      <c r="B243" s="14"/>
      <c r="C243" s="14"/>
      <c r="D243" s="4"/>
      <c r="E243" s="4"/>
      <c r="F243" s="4"/>
      <c r="G243" s="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24">
      <c r="A244" s="14"/>
      <c r="B244" s="14"/>
      <c r="C244" s="14"/>
      <c r="D244" s="4"/>
      <c r="E244" s="4"/>
      <c r="F244" s="4"/>
      <c r="G244" s="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24">
      <c r="A245" s="14"/>
      <c r="B245" s="14"/>
      <c r="C245" s="14"/>
      <c r="D245" s="4"/>
      <c r="E245" s="4"/>
      <c r="F245" s="4"/>
      <c r="G245" s="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24">
      <c r="A246" s="14"/>
      <c r="B246" s="14"/>
      <c r="C246" s="14"/>
      <c r="D246" s="4"/>
      <c r="E246" s="4"/>
      <c r="F246" s="4"/>
      <c r="G246" s="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24">
      <c r="A247" s="14"/>
      <c r="B247" s="14"/>
      <c r="C247" s="14"/>
      <c r="D247" s="4"/>
      <c r="E247" s="4"/>
      <c r="F247" s="4"/>
      <c r="G247" s="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24">
      <c r="A248" s="14"/>
      <c r="B248" s="14"/>
      <c r="C248" s="14"/>
      <c r="D248" s="4"/>
      <c r="E248" s="4"/>
      <c r="F248" s="4"/>
      <c r="G248" s="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24">
      <c r="A249" s="14"/>
      <c r="B249" s="14"/>
      <c r="C249" s="14"/>
      <c r="D249" s="4"/>
      <c r="E249" s="4"/>
      <c r="F249" s="4"/>
      <c r="G249" s="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24">
      <c r="A250" s="14"/>
      <c r="B250" s="14"/>
      <c r="C250" s="14"/>
      <c r="D250" s="4"/>
      <c r="E250" s="4"/>
      <c r="F250" s="4"/>
      <c r="G250" s="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24">
      <c r="A251" s="14"/>
      <c r="B251" s="14"/>
      <c r="C251" s="14"/>
      <c r="D251" s="4"/>
      <c r="E251" s="4"/>
      <c r="F251" s="4"/>
      <c r="G251" s="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24">
      <c r="A252" s="14"/>
      <c r="B252" s="14"/>
      <c r="C252" s="14"/>
      <c r="D252" s="4"/>
      <c r="E252" s="4"/>
      <c r="F252" s="4"/>
      <c r="G252" s="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24">
      <c r="A253" s="14"/>
      <c r="B253" s="14"/>
      <c r="C253" s="14"/>
      <c r="D253" s="4"/>
      <c r="E253" s="4"/>
      <c r="F253" s="4"/>
      <c r="G253" s="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24">
      <c r="A254" s="14"/>
      <c r="B254" s="14"/>
      <c r="C254" s="14"/>
      <c r="D254" s="4"/>
      <c r="E254" s="4"/>
      <c r="F254" s="4"/>
      <c r="G254" s="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24">
      <c r="A255" s="14"/>
      <c r="B255" s="14"/>
      <c r="C255" s="14"/>
      <c r="D255" s="4"/>
      <c r="E255" s="4"/>
      <c r="F255" s="4"/>
      <c r="G255" s="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24">
      <c r="A256" s="14"/>
      <c r="B256" s="14"/>
      <c r="C256" s="14"/>
      <c r="D256" s="4"/>
      <c r="E256" s="4"/>
      <c r="F256" s="4"/>
      <c r="G256" s="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24">
      <c r="A257" s="14"/>
      <c r="B257" s="14"/>
      <c r="C257" s="14"/>
      <c r="D257" s="4"/>
      <c r="E257" s="4"/>
      <c r="F257" s="4"/>
      <c r="G257" s="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24">
      <c r="A258" s="14"/>
      <c r="B258" s="14"/>
      <c r="C258" s="14"/>
      <c r="D258" s="4"/>
      <c r="E258" s="4"/>
      <c r="F258" s="4"/>
      <c r="G258" s="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24">
      <c r="A259" s="14"/>
      <c r="B259" s="14"/>
      <c r="C259" s="14"/>
      <c r="D259" s="4"/>
      <c r="E259" s="4"/>
      <c r="F259" s="4"/>
      <c r="G259" s="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24">
      <c r="A260" s="14"/>
      <c r="B260" s="14"/>
      <c r="C260" s="14"/>
      <c r="D260" s="4"/>
      <c r="E260" s="4"/>
      <c r="F260" s="4"/>
      <c r="G260" s="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24">
      <c r="A261" s="14"/>
      <c r="B261" s="14"/>
      <c r="C261" s="14"/>
      <c r="D261" s="4"/>
      <c r="E261" s="4"/>
      <c r="F261" s="4"/>
      <c r="G261" s="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24">
      <c r="A262" s="14"/>
      <c r="B262" s="14"/>
      <c r="C262" s="14"/>
      <c r="D262" s="4"/>
      <c r="E262" s="4"/>
      <c r="F262" s="4"/>
      <c r="G262" s="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24">
      <c r="A263" s="14"/>
      <c r="B263" s="14"/>
      <c r="C263" s="14"/>
      <c r="D263" s="4"/>
      <c r="E263" s="4"/>
      <c r="F263" s="4"/>
      <c r="G263" s="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24">
      <c r="A264" s="14"/>
      <c r="B264" s="14"/>
      <c r="C264" s="14"/>
      <c r="D264" s="4"/>
      <c r="E264" s="4"/>
      <c r="F264" s="4"/>
      <c r="G264" s="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24">
      <c r="A265" s="14"/>
      <c r="B265" s="14"/>
      <c r="C265" s="14"/>
      <c r="D265" s="4"/>
      <c r="E265" s="4"/>
      <c r="F265" s="4"/>
      <c r="G265" s="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24">
      <c r="A266" s="14"/>
      <c r="B266" s="14"/>
      <c r="C266" s="14"/>
      <c r="D266" s="4"/>
      <c r="E266" s="4"/>
      <c r="F266" s="4"/>
      <c r="G266" s="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24">
      <c r="A267" s="14"/>
      <c r="B267" s="14"/>
      <c r="C267" s="14"/>
      <c r="D267" s="4"/>
      <c r="E267" s="4"/>
      <c r="F267" s="4"/>
      <c r="G267" s="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24">
      <c r="A268" s="14"/>
      <c r="B268" s="14"/>
      <c r="C268" s="14"/>
      <c r="D268" s="4"/>
      <c r="E268" s="4"/>
      <c r="F268" s="4"/>
      <c r="G268" s="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24">
      <c r="A269" s="14"/>
      <c r="B269" s="14"/>
      <c r="C269" s="14"/>
      <c r="D269" s="4"/>
      <c r="E269" s="4"/>
      <c r="F269" s="4"/>
      <c r="G269" s="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24">
      <c r="A270" s="14"/>
      <c r="B270" s="14"/>
      <c r="C270" s="14"/>
      <c r="D270" s="4"/>
      <c r="E270" s="4"/>
      <c r="F270" s="4"/>
      <c r="G270" s="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24">
      <c r="A271" s="14"/>
      <c r="B271" s="14"/>
      <c r="C271" s="14"/>
      <c r="D271" s="4"/>
      <c r="E271" s="4"/>
      <c r="F271" s="4"/>
      <c r="G271" s="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24">
      <c r="A272" s="14"/>
      <c r="B272" s="14"/>
      <c r="C272" s="14"/>
      <c r="D272" s="4"/>
      <c r="E272" s="4"/>
      <c r="F272" s="4"/>
      <c r="G272" s="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24">
      <c r="A273" s="14"/>
      <c r="B273" s="14"/>
      <c r="C273" s="14"/>
      <c r="D273" s="4"/>
      <c r="E273" s="4"/>
      <c r="F273" s="4"/>
      <c r="G273" s="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24">
      <c r="A274" s="14"/>
      <c r="B274" s="14"/>
      <c r="C274" s="14"/>
      <c r="D274" s="4"/>
      <c r="E274" s="4"/>
      <c r="F274" s="4"/>
      <c r="G274" s="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24">
      <c r="A275" s="14"/>
      <c r="B275" s="14"/>
      <c r="C275" s="14"/>
      <c r="D275" s="4"/>
      <c r="E275" s="4"/>
      <c r="F275" s="4"/>
      <c r="G275" s="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24">
      <c r="A276" s="14"/>
      <c r="B276" s="14"/>
      <c r="C276" s="14"/>
      <c r="D276" s="4"/>
      <c r="E276" s="4"/>
      <c r="F276" s="4"/>
      <c r="G276" s="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24">
      <c r="A277" s="14"/>
      <c r="B277" s="14"/>
      <c r="C277" s="14"/>
      <c r="D277" s="4"/>
      <c r="E277" s="4"/>
      <c r="F277" s="4"/>
      <c r="G277" s="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24">
      <c r="A278" s="14"/>
      <c r="B278" s="14"/>
      <c r="C278" s="14"/>
      <c r="D278" s="4"/>
      <c r="E278" s="4"/>
      <c r="F278" s="4"/>
      <c r="G278" s="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24">
      <c r="A279" s="14"/>
      <c r="B279" s="14"/>
      <c r="C279" s="14"/>
      <c r="D279" s="4"/>
      <c r="E279" s="4"/>
      <c r="F279" s="4"/>
      <c r="G279" s="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24">
      <c r="A280" s="14"/>
      <c r="B280" s="14"/>
      <c r="C280" s="14"/>
      <c r="D280" s="4"/>
      <c r="E280" s="4"/>
      <c r="F280" s="4"/>
      <c r="G280" s="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24">
      <c r="A281" s="14"/>
      <c r="B281" s="14"/>
      <c r="C281" s="14"/>
      <c r="D281" s="4"/>
      <c r="E281" s="4"/>
      <c r="F281" s="4"/>
      <c r="G281" s="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24">
      <c r="A282" s="14"/>
      <c r="B282" s="14"/>
      <c r="C282" s="14"/>
      <c r="D282" s="4"/>
      <c r="E282" s="4"/>
      <c r="F282" s="4"/>
      <c r="G282" s="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24">
      <c r="A283" s="14"/>
      <c r="B283" s="14"/>
      <c r="C283" s="14"/>
      <c r="D283" s="4"/>
      <c r="E283" s="4"/>
      <c r="F283" s="4"/>
      <c r="G283" s="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24">
      <c r="A284" s="14"/>
      <c r="B284" s="14"/>
      <c r="C284" s="14"/>
      <c r="D284" s="4"/>
      <c r="E284" s="4"/>
      <c r="F284" s="4"/>
      <c r="G284" s="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24">
      <c r="A285" s="14"/>
      <c r="B285" s="14"/>
      <c r="C285" s="14"/>
      <c r="D285" s="4"/>
      <c r="E285" s="4"/>
      <c r="F285" s="4"/>
      <c r="G285" s="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24">
      <c r="A286" s="14"/>
      <c r="B286" s="14"/>
      <c r="C286" s="14"/>
      <c r="D286" s="4"/>
      <c r="E286" s="4"/>
      <c r="F286" s="4"/>
      <c r="G286" s="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24">
      <c r="A287" s="14"/>
      <c r="B287" s="14"/>
      <c r="C287" s="14"/>
      <c r="D287" s="4"/>
      <c r="E287" s="4"/>
      <c r="F287" s="4"/>
      <c r="G287" s="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24">
      <c r="A288" s="14"/>
      <c r="B288" s="14"/>
      <c r="C288" s="14"/>
      <c r="D288" s="4"/>
      <c r="E288" s="4"/>
      <c r="F288" s="4"/>
      <c r="G288" s="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24">
      <c r="A289" s="14"/>
      <c r="B289" s="14"/>
      <c r="C289" s="14"/>
      <c r="D289" s="4"/>
      <c r="E289" s="4"/>
      <c r="F289" s="4"/>
      <c r="G289" s="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24">
      <c r="A290" s="14"/>
      <c r="B290" s="14"/>
      <c r="C290" s="14"/>
      <c r="D290" s="4"/>
      <c r="E290" s="4"/>
      <c r="F290" s="4"/>
      <c r="G290" s="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24">
      <c r="A291" s="14"/>
      <c r="B291" s="14"/>
      <c r="C291" s="14"/>
      <c r="D291" s="4"/>
      <c r="E291" s="4"/>
      <c r="F291" s="4"/>
      <c r="G291" s="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24">
      <c r="A292" s="14"/>
      <c r="B292" s="14"/>
      <c r="C292" s="14"/>
      <c r="D292" s="4"/>
      <c r="E292" s="4"/>
      <c r="F292" s="4"/>
      <c r="G292" s="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24">
      <c r="A293" s="14"/>
      <c r="B293" s="14"/>
      <c r="C293" s="14"/>
      <c r="D293" s="4"/>
      <c r="E293" s="4"/>
      <c r="F293" s="4"/>
      <c r="G293" s="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24">
      <c r="A294" s="14"/>
      <c r="B294" s="14"/>
      <c r="C294" s="14"/>
      <c r="D294" s="4"/>
      <c r="E294" s="4"/>
      <c r="F294" s="4"/>
      <c r="G294" s="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24">
      <c r="A295" s="14"/>
      <c r="B295" s="14"/>
      <c r="C295" s="14"/>
      <c r="D295" s="4"/>
      <c r="E295" s="4"/>
      <c r="F295" s="4"/>
      <c r="G295" s="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24">
      <c r="A296" s="14"/>
      <c r="B296" s="14"/>
      <c r="C296" s="14"/>
      <c r="D296" s="4"/>
      <c r="E296" s="4"/>
      <c r="F296" s="4"/>
      <c r="G296" s="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24">
      <c r="A297" s="14"/>
      <c r="B297" s="14"/>
      <c r="C297" s="14"/>
      <c r="D297" s="4"/>
      <c r="E297" s="4"/>
      <c r="F297" s="4"/>
      <c r="G297" s="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24">
      <c r="A298" s="14"/>
      <c r="B298" s="14"/>
      <c r="C298" s="14"/>
      <c r="D298" s="4"/>
      <c r="E298" s="4"/>
      <c r="F298" s="4"/>
      <c r="G298" s="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24">
      <c r="A299" s="14"/>
      <c r="B299" s="14"/>
      <c r="C299" s="14"/>
      <c r="D299" s="4"/>
      <c r="E299" s="4"/>
      <c r="F299" s="4"/>
      <c r="G299" s="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24">
      <c r="A300" s="14"/>
      <c r="B300" s="14"/>
      <c r="C300" s="14"/>
      <c r="D300" s="4"/>
      <c r="E300" s="4"/>
      <c r="F300" s="4"/>
      <c r="G300" s="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24">
      <c r="A301" s="14"/>
      <c r="B301" s="14"/>
      <c r="C301" s="14"/>
      <c r="D301" s="4"/>
      <c r="E301" s="4"/>
      <c r="F301" s="4"/>
      <c r="G301" s="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24">
      <c r="A302" s="14"/>
      <c r="B302" s="14"/>
      <c r="C302" s="14"/>
      <c r="D302" s="4"/>
      <c r="E302" s="4"/>
      <c r="F302" s="4"/>
      <c r="G302" s="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24">
      <c r="A303" s="14"/>
      <c r="B303" s="14"/>
      <c r="C303" s="14"/>
      <c r="D303" s="4"/>
      <c r="E303" s="4"/>
      <c r="F303" s="4"/>
      <c r="G303" s="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24">
      <c r="A304" s="14"/>
      <c r="B304" s="14"/>
      <c r="C304" s="14"/>
      <c r="D304" s="4"/>
      <c r="E304" s="4"/>
      <c r="F304" s="4"/>
      <c r="G304" s="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24">
      <c r="A305" s="14"/>
      <c r="B305" s="14"/>
      <c r="C305" s="14"/>
      <c r="D305" s="4"/>
      <c r="E305" s="4"/>
      <c r="F305" s="4"/>
      <c r="G305" s="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24">
      <c r="A306" s="14"/>
      <c r="B306" s="14"/>
      <c r="C306" s="14"/>
      <c r="D306" s="4"/>
      <c r="E306" s="4"/>
      <c r="F306" s="4"/>
      <c r="G306" s="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24">
      <c r="A307" s="14"/>
      <c r="B307" s="14"/>
      <c r="C307" s="14"/>
      <c r="D307" s="4"/>
      <c r="E307" s="4"/>
      <c r="F307" s="4"/>
      <c r="G307" s="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24">
      <c r="A308" s="14"/>
      <c r="B308" s="14"/>
      <c r="C308" s="14"/>
      <c r="D308" s="4"/>
      <c r="E308" s="4"/>
      <c r="F308" s="4"/>
      <c r="G308" s="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24">
      <c r="A309" s="14"/>
      <c r="B309" s="14"/>
      <c r="C309" s="14"/>
      <c r="D309" s="4"/>
      <c r="E309" s="4"/>
      <c r="F309" s="4"/>
      <c r="G309" s="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24">
      <c r="A310" s="14"/>
      <c r="B310" s="14"/>
      <c r="C310" s="14"/>
      <c r="D310" s="4"/>
      <c r="E310" s="4"/>
      <c r="F310" s="4"/>
      <c r="G310" s="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24">
      <c r="A311" s="14"/>
      <c r="B311" s="14"/>
      <c r="C311" s="14"/>
      <c r="D311" s="4"/>
      <c r="E311" s="4"/>
      <c r="F311" s="4"/>
      <c r="G311" s="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24">
      <c r="A312" s="14"/>
      <c r="B312" s="14"/>
      <c r="C312" s="14"/>
      <c r="D312" s="4"/>
      <c r="E312" s="4"/>
      <c r="F312" s="4"/>
      <c r="G312" s="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24">
      <c r="A313" s="14"/>
      <c r="B313" s="14"/>
      <c r="C313" s="14"/>
      <c r="D313" s="4"/>
      <c r="E313" s="4"/>
      <c r="F313" s="4"/>
      <c r="G313" s="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24">
      <c r="A314" s="14"/>
      <c r="B314" s="14"/>
      <c r="C314" s="14"/>
      <c r="D314" s="4"/>
      <c r="E314" s="4"/>
      <c r="F314" s="4"/>
      <c r="G314" s="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24">
      <c r="A315" s="14"/>
      <c r="B315" s="14"/>
      <c r="C315" s="14"/>
      <c r="D315" s="4"/>
      <c r="E315" s="4"/>
      <c r="F315" s="4"/>
      <c r="G315" s="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24">
      <c r="A316" s="14"/>
      <c r="B316" s="14"/>
      <c r="C316" s="14"/>
      <c r="D316" s="4"/>
      <c r="E316" s="4"/>
      <c r="F316" s="4"/>
      <c r="G316" s="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24">
      <c r="A317" s="14"/>
      <c r="B317" s="14"/>
      <c r="C317" s="14"/>
      <c r="D317" s="4"/>
      <c r="E317" s="4"/>
      <c r="F317" s="4"/>
      <c r="G317" s="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24">
      <c r="A318" s="14"/>
      <c r="B318" s="14"/>
      <c r="C318" s="14"/>
      <c r="D318" s="4"/>
      <c r="E318" s="4"/>
      <c r="F318" s="4"/>
      <c r="G318" s="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24">
      <c r="A319" s="14"/>
      <c r="B319" s="14"/>
      <c r="C319" s="14"/>
      <c r="D319" s="4"/>
      <c r="E319" s="4"/>
      <c r="F319" s="4"/>
      <c r="G319" s="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24">
      <c r="A320" s="14"/>
      <c r="B320" s="14"/>
      <c r="C320" s="14"/>
      <c r="D320" s="4"/>
      <c r="E320" s="4"/>
      <c r="F320" s="4"/>
      <c r="G320" s="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24">
      <c r="A321" s="14"/>
      <c r="B321" s="14"/>
      <c r="C321" s="14"/>
      <c r="D321" s="4"/>
      <c r="E321" s="4"/>
      <c r="F321" s="4"/>
      <c r="G321" s="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24">
      <c r="A322" s="14"/>
      <c r="B322" s="14"/>
      <c r="C322" s="14"/>
      <c r="D322" s="4"/>
      <c r="E322" s="4"/>
      <c r="F322" s="4"/>
      <c r="G322" s="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24">
      <c r="A323" s="14"/>
      <c r="B323" s="14"/>
      <c r="C323" s="14"/>
      <c r="D323" s="4"/>
      <c r="E323" s="4"/>
      <c r="F323" s="4"/>
      <c r="G323" s="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24">
      <c r="A324" s="14"/>
      <c r="B324" s="14"/>
      <c r="C324" s="14"/>
      <c r="D324" s="4"/>
      <c r="E324" s="4"/>
      <c r="F324" s="4"/>
      <c r="G324" s="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24">
      <c r="A325" s="14"/>
      <c r="B325" s="14"/>
      <c r="C325" s="14"/>
      <c r="D325" s="4"/>
      <c r="E325" s="4"/>
      <c r="F325" s="4"/>
      <c r="G325" s="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24">
      <c r="A326" s="14"/>
      <c r="B326" s="14"/>
      <c r="C326" s="14"/>
      <c r="D326" s="4"/>
      <c r="E326" s="4"/>
      <c r="F326" s="4"/>
      <c r="G326" s="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24">
      <c r="A327" s="14"/>
      <c r="B327" s="14"/>
      <c r="C327" s="14"/>
      <c r="D327" s="4"/>
      <c r="E327" s="4"/>
      <c r="F327" s="4"/>
      <c r="G327" s="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24">
      <c r="A328" s="14"/>
      <c r="B328" s="14"/>
      <c r="C328" s="14"/>
      <c r="D328" s="4"/>
      <c r="E328" s="4"/>
      <c r="F328" s="4"/>
      <c r="G328" s="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24">
      <c r="A329" s="14"/>
      <c r="B329" s="14"/>
      <c r="C329" s="14"/>
      <c r="D329" s="4"/>
      <c r="E329" s="4"/>
      <c r="F329" s="4"/>
      <c r="G329" s="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24">
      <c r="A330" s="14"/>
      <c r="B330" s="14"/>
      <c r="C330" s="14"/>
      <c r="D330" s="4"/>
      <c r="E330" s="4"/>
      <c r="F330" s="4"/>
      <c r="G330" s="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24">
      <c r="A331" s="14"/>
      <c r="B331" s="14"/>
      <c r="C331" s="14"/>
      <c r="D331" s="4"/>
      <c r="E331" s="4"/>
      <c r="F331" s="4"/>
      <c r="G331" s="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24">
      <c r="A332" s="14"/>
      <c r="B332" s="14"/>
      <c r="C332" s="14"/>
      <c r="D332" s="4"/>
      <c r="E332" s="4"/>
      <c r="F332" s="4"/>
      <c r="G332" s="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24">
      <c r="A333" s="14"/>
      <c r="B333" s="14"/>
      <c r="C333" s="14"/>
      <c r="D333" s="4"/>
      <c r="E333" s="4"/>
      <c r="F333" s="4"/>
      <c r="G333" s="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24">
      <c r="A334" s="14"/>
      <c r="B334" s="14"/>
      <c r="C334" s="14"/>
      <c r="D334" s="4"/>
      <c r="E334" s="4"/>
      <c r="F334" s="4"/>
      <c r="G334" s="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24">
      <c r="A335" s="14"/>
      <c r="B335" s="14"/>
      <c r="C335" s="14"/>
      <c r="D335" s="4"/>
      <c r="E335" s="4"/>
      <c r="F335" s="4"/>
      <c r="G335" s="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24">
      <c r="A336" s="14"/>
      <c r="B336" s="14"/>
      <c r="C336" s="14"/>
      <c r="D336" s="4"/>
      <c r="E336" s="4"/>
      <c r="F336" s="4"/>
      <c r="G336" s="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24">
      <c r="A337" s="14"/>
      <c r="B337" s="14"/>
      <c r="C337" s="14"/>
      <c r="D337" s="4"/>
      <c r="E337" s="4"/>
      <c r="F337" s="4"/>
      <c r="G337" s="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24">
      <c r="A338" s="14"/>
      <c r="B338" s="14"/>
      <c r="C338" s="14"/>
      <c r="D338" s="4"/>
      <c r="E338" s="4"/>
      <c r="F338" s="4"/>
      <c r="G338" s="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24">
      <c r="A339" s="14"/>
      <c r="B339" s="14"/>
      <c r="C339" s="14"/>
      <c r="D339" s="4"/>
      <c r="E339" s="4"/>
      <c r="F339" s="4"/>
      <c r="G339" s="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24">
      <c r="A340" s="14"/>
      <c r="B340" s="14"/>
      <c r="C340" s="14"/>
      <c r="D340" s="4"/>
      <c r="E340" s="4"/>
      <c r="F340" s="4"/>
      <c r="G340" s="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24">
      <c r="A341" s="14"/>
      <c r="B341" s="14"/>
      <c r="C341" s="14"/>
      <c r="D341" s="4"/>
      <c r="E341" s="4"/>
      <c r="F341" s="4"/>
      <c r="G341" s="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24">
      <c r="A342" s="14"/>
      <c r="B342" s="14"/>
      <c r="C342" s="14"/>
      <c r="D342" s="4"/>
      <c r="E342" s="4"/>
      <c r="F342" s="4"/>
      <c r="G342" s="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24">
      <c r="A343" s="14"/>
      <c r="B343" s="14"/>
      <c r="C343" s="14"/>
      <c r="D343" s="4"/>
      <c r="E343" s="4"/>
      <c r="F343" s="4"/>
      <c r="G343" s="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24">
      <c r="A344" s="14"/>
      <c r="B344" s="14"/>
      <c r="C344" s="14"/>
      <c r="D344" s="4"/>
      <c r="E344" s="4"/>
      <c r="F344" s="4"/>
      <c r="G344" s="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24">
      <c r="A345" s="14"/>
      <c r="B345" s="14"/>
      <c r="C345" s="14"/>
      <c r="D345" s="4"/>
      <c r="E345" s="4"/>
      <c r="F345" s="4"/>
      <c r="G345" s="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24">
      <c r="A346" s="14"/>
      <c r="B346" s="14"/>
      <c r="C346" s="14"/>
      <c r="D346" s="4"/>
      <c r="E346" s="4"/>
      <c r="F346" s="4"/>
      <c r="G346" s="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24">
      <c r="A347" s="14"/>
      <c r="B347" s="14"/>
      <c r="C347" s="14"/>
      <c r="D347" s="4"/>
      <c r="E347" s="4"/>
      <c r="F347" s="4"/>
      <c r="G347" s="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24">
      <c r="A348" s="14"/>
      <c r="B348" s="14"/>
      <c r="C348" s="14"/>
      <c r="D348" s="4"/>
      <c r="E348" s="4"/>
      <c r="F348" s="4"/>
      <c r="G348" s="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24">
      <c r="A349" s="14"/>
      <c r="B349" s="14"/>
      <c r="C349" s="14"/>
      <c r="D349" s="4"/>
      <c r="E349" s="4"/>
      <c r="F349" s="4"/>
      <c r="G349" s="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24">
      <c r="A350" s="14"/>
      <c r="B350" s="14"/>
      <c r="C350" s="14"/>
      <c r="D350" s="4"/>
      <c r="E350" s="4"/>
      <c r="F350" s="4"/>
      <c r="G350" s="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24">
      <c r="A351" s="14"/>
      <c r="B351" s="14"/>
      <c r="C351" s="14"/>
      <c r="D351" s="4"/>
      <c r="E351" s="4"/>
      <c r="F351" s="4"/>
      <c r="G351" s="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24">
      <c r="A352" s="14"/>
      <c r="B352" s="14"/>
      <c r="C352" s="14"/>
      <c r="D352" s="4"/>
      <c r="E352" s="4"/>
      <c r="F352" s="4"/>
      <c r="G352" s="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24">
      <c r="A353" s="14"/>
      <c r="B353" s="14"/>
      <c r="C353" s="14"/>
      <c r="D353" s="4"/>
      <c r="E353" s="4"/>
      <c r="F353" s="4"/>
      <c r="G353" s="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24">
      <c r="A354" s="14"/>
      <c r="B354" s="14"/>
      <c r="C354" s="14"/>
      <c r="D354" s="4"/>
      <c r="E354" s="4"/>
      <c r="F354" s="4"/>
      <c r="G354" s="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24">
      <c r="A355" s="14"/>
      <c r="B355" s="14"/>
      <c r="C355" s="14"/>
      <c r="D355" s="4"/>
      <c r="E355" s="4"/>
      <c r="F355" s="4"/>
      <c r="G355" s="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24">
      <c r="A356" s="14"/>
      <c r="B356" s="14"/>
      <c r="C356" s="14"/>
      <c r="D356" s="4"/>
      <c r="E356" s="4"/>
      <c r="F356" s="4"/>
      <c r="G356" s="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24">
      <c r="A357" s="14"/>
      <c r="B357" s="14"/>
      <c r="C357" s="14"/>
      <c r="D357" s="4"/>
      <c r="E357" s="4"/>
      <c r="F357" s="4"/>
      <c r="G357" s="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24">
      <c r="A358" s="14"/>
      <c r="B358" s="14"/>
      <c r="C358" s="14"/>
      <c r="D358" s="4"/>
      <c r="E358" s="4"/>
      <c r="F358" s="4"/>
      <c r="G358" s="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24">
      <c r="A359" s="14"/>
      <c r="B359" s="14"/>
      <c r="C359" s="14"/>
      <c r="D359" s="4"/>
      <c r="E359" s="4"/>
      <c r="F359" s="4"/>
      <c r="G359" s="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24">
      <c r="A360" s="14"/>
      <c r="B360" s="14"/>
      <c r="C360" s="14"/>
      <c r="D360" s="4"/>
      <c r="E360" s="4"/>
      <c r="F360" s="4"/>
      <c r="G360" s="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24">
      <c r="A361" s="14"/>
      <c r="B361" s="14"/>
      <c r="C361" s="14"/>
      <c r="D361" s="4"/>
      <c r="E361" s="4"/>
      <c r="F361" s="4"/>
      <c r="G361" s="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24">
      <c r="A362" s="14"/>
      <c r="B362" s="14"/>
      <c r="C362" s="14"/>
      <c r="D362" s="4"/>
      <c r="E362" s="4"/>
      <c r="F362" s="4"/>
      <c r="G362" s="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24">
      <c r="A363" s="14"/>
      <c r="B363" s="14"/>
      <c r="C363" s="14"/>
      <c r="D363" s="4"/>
      <c r="E363" s="4"/>
      <c r="F363" s="4"/>
      <c r="G363" s="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24">
      <c r="A364" s="14"/>
      <c r="B364" s="14"/>
      <c r="C364" s="14"/>
      <c r="D364" s="4"/>
      <c r="E364" s="4"/>
      <c r="F364" s="4"/>
      <c r="G364" s="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24">
      <c r="A365" s="14"/>
      <c r="B365" s="14"/>
      <c r="C365" s="14"/>
      <c r="D365" s="4"/>
      <c r="E365" s="4"/>
      <c r="F365" s="4"/>
      <c r="G365" s="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24">
      <c r="A366" s="14"/>
      <c r="B366" s="14"/>
      <c r="C366" s="14"/>
      <c r="D366" s="4"/>
      <c r="E366" s="4"/>
      <c r="F366" s="4"/>
      <c r="G366" s="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24">
      <c r="A367" s="14"/>
      <c r="B367" s="14"/>
      <c r="C367" s="14"/>
      <c r="D367" s="4"/>
      <c r="E367" s="4"/>
      <c r="F367" s="4"/>
      <c r="G367" s="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24">
      <c r="A368" s="14"/>
      <c r="B368" s="14"/>
      <c r="C368" s="14"/>
      <c r="D368" s="4"/>
      <c r="E368" s="4"/>
      <c r="F368" s="4"/>
      <c r="G368" s="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24">
      <c r="A369" s="14"/>
      <c r="B369" s="14"/>
      <c r="C369" s="14"/>
      <c r="D369" s="4"/>
      <c r="E369" s="4"/>
      <c r="F369" s="4"/>
      <c r="G369" s="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24">
      <c r="A370" s="14"/>
      <c r="B370" s="14"/>
      <c r="C370" s="14"/>
      <c r="D370" s="4"/>
      <c r="E370" s="4"/>
      <c r="F370" s="4"/>
      <c r="G370" s="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24">
      <c r="A371" s="14"/>
      <c r="B371" s="14"/>
      <c r="C371" s="14"/>
      <c r="D371" s="4"/>
      <c r="E371" s="4"/>
      <c r="F371" s="4"/>
      <c r="G371" s="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24">
      <c r="A372" s="14"/>
      <c r="B372" s="14"/>
      <c r="C372" s="14"/>
      <c r="D372" s="4"/>
      <c r="E372" s="4"/>
      <c r="F372" s="4"/>
      <c r="G372" s="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24">
      <c r="A373" s="14"/>
      <c r="B373" s="14"/>
      <c r="C373" s="14"/>
      <c r="D373" s="4"/>
      <c r="E373" s="4"/>
      <c r="F373" s="4"/>
      <c r="G373" s="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24">
      <c r="A374" s="14"/>
      <c r="B374" s="14"/>
      <c r="C374" s="14"/>
      <c r="D374" s="4"/>
      <c r="E374" s="4"/>
      <c r="F374" s="4"/>
      <c r="G374" s="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24">
      <c r="A375" s="14"/>
      <c r="B375" s="14"/>
      <c r="C375" s="14"/>
      <c r="D375" s="4"/>
      <c r="E375" s="4"/>
      <c r="F375" s="4"/>
      <c r="G375" s="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24">
      <c r="A376" s="14"/>
      <c r="B376" s="14"/>
      <c r="C376" s="14"/>
      <c r="D376" s="4"/>
      <c r="E376" s="4"/>
      <c r="F376" s="4"/>
      <c r="G376" s="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24">
      <c r="A377" s="14"/>
      <c r="B377" s="14"/>
      <c r="C377" s="14"/>
      <c r="D377" s="4"/>
      <c r="E377" s="4"/>
      <c r="F377" s="4"/>
      <c r="G377" s="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24">
      <c r="A378" s="14"/>
      <c r="B378" s="14"/>
      <c r="C378" s="14"/>
      <c r="D378" s="4"/>
      <c r="E378" s="4"/>
      <c r="F378" s="4"/>
      <c r="G378" s="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24">
      <c r="A379" s="14"/>
      <c r="B379" s="14"/>
      <c r="C379" s="14"/>
      <c r="D379" s="4"/>
      <c r="E379" s="4"/>
      <c r="F379" s="4"/>
      <c r="G379" s="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24">
      <c r="A380" s="14"/>
      <c r="B380" s="14"/>
      <c r="C380" s="14"/>
      <c r="D380" s="4"/>
      <c r="E380" s="4"/>
      <c r="F380" s="4"/>
      <c r="G380" s="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24">
      <c r="A381" s="14"/>
      <c r="B381" s="14"/>
      <c r="C381" s="14"/>
      <c r="D381" s="4"/>
      <c r="E381" s="4"/>
      <c r="F381" s="4"/>
      <c r="G381" s="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24">
      <c r="A382" s="14"/>
      <c r="B382" s="14"/>
      <c r="C382" s="14"/>
      <c r="D382" s="4"/>
      <c r="E382" s="4"/>
      <c r="F382" s="4"/>
      <c r="G382" s="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24">
      <c r="A383" s="14"/>
      <c r="B383" s="14"/>
      <c r="C383" s="14"/>
      <c r="D383" s="4"/>
      <c r="E383" s="4"/>
      <c r="F383" s="4"/>
      <c r="G383" s="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24">
      <c r="A384" s="14"/>
      <c r="B384" s="14"/>
      <c r="C384" s="14"/>
      <c r="D384" s="4"/>
      <c r="E384" s="4"/>
      <c r="F384" s="4"/>
      <c r="G384" s="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24">
      <c r="A385" s="14"/>
      <c r="B385" s="14"/>
      <c r="C385" s="14"/>
      <c r="D385" s="4"/>
      <c r="E385" s="4"/>
      <c r="F385" s="4"/>
      <c r="G385" s="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24">
      <c r="A386" s="14"/>
      <c r="B386" s="14"/>
      <c r="C386" s="14"/>
      <c r="D386" s="4"/>
      <c r="E386" s="4"/>
      <c r="F386" s="4"/>
      <c r="G386" s="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24">
      <c r="A387" s="14"/>
      <c r="B387" s="14"/>
      <c r="C387" s="14"/>
      <c r="D387" s="4"/>
      <c r="E387" s="4"/>
      <c r="F387" s="4"/>
      <c r="G387" s="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24">
      <c r="A388" s="14"/>
      <c r="B388" s="14"/>
      <c r="C388" s="14"/>
      <c r="D388" s="4"/>
      <c r="E388" s="4"/>
      <c r="F388" s="4"/>
      <c r="G388" s="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24">
      <c r="A389" s="14"/>
      <c r="B389" s="14"/>
      <c r="C389" s="14"/>
      <c r="D389" s="4"/>
      <c r="E389" s="4"/>
      <c r="F389" s="4"/>
      <c r="G389" s="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24">
      <c r="A390" s="14"/>
      <c r="B390" s="14"/>
      <c r="C390" s="14"/>
      <c r="D390" s="4"/>
      <c r="E390" s="4"/>
      <c r="F390" s="4"/>
      <c r="G390" s="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24">
      <c r="A391" s="14"/>
      <c r="B391" s="14"/>
      <c r="C391" s="14"/>
      <c r="D391" s="4"/>
      <c r="E391" s="4"/>
      <c r="F391" s="4"/>
      <c r="G391" s="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24">
      <c r="A392" s="14"/>
      <c r="B392" s="14"/>
      <c r="C392" s="14"/>
      <c r="D392" s="4"/>
      <c r="E392" s="4"/>
      <c r="F392" s="4"/>
      <c r="G392" s="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24">
      <c r="A393" s="14"/>
      <c r="B393" s="14"/>
      <c r="C393" s="14"/>
      <c r="D393" s="4"/>
      <c r="E393" s="4"/>
      <c r="F393" s="4"/>
      <c r="G393" s="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24">
      <c r="A394" s="14"/>
      <c r="B394" s="14"/>
      <c r="C394" s="14"/>
      <c r="D394" s="4"/>
      <c r="E394" s="4"/>
      <c r="F394" s="4"/>
      <c r="G394" s="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24">
      <c r="A395" s="14"/>
      <c r="B395" s="14"/>
      <c r="C395" s="14"/>
      <c r="D395" s="4"/>
      <c r="E395" s="4"/>
      <c r="F395" s="4"/>
      <c r="G395" s="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24">
      <c r="A396" s="14"/>
      <c r="B396" s="14"/>
      <c r="C396" s="14"/>
      <c r="D396" s="4"/>
      <c r="E396" s="4"/>
      <c r="F396" s="4"/>
      <c r="G396" s="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24">
      <c r="A397" s="14"/>
      <c r="B397" s="14"/>
      <c r="C397" s="14"/>
      <c r="D397" s="4"/>
      <c r="E397" s="4"/>
      <c r="F397" s="4"/>
      <c r="G397" s="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24">
      <c r="A398" s="14"/>
      <c r="B398" s="14"/>
      <c r="C398" s="14"/>
      <c r="D398" s="4"/>
      <c r="E398" s="4"/>
      <c r="F398" s="4"/>
      <c r="G398" s="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24">
      <c r="A399" s="14"/>
      <c r="B399" s="14"/>
      <c r="C399" s="14"/>
      <c r="D399" s="4"/>
      <c r="E399" s="4"/>
      <c r="F399" s="4"/>
      <c r="G399" s="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24">
      <c r="A400" s="14"/>
      <c r="B400" s="14"/>
      <c r="C400" s="14"/>
      <c r="D400" s="4"/>
      <c r="E400" s="4"/>
      <c r="F400" s="4"/>
      <c r="G400" s="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24">
      <c r="A401" s="14"/>
      <c r="B401" s="14"/>
      <c r="C401" s="14"/>
      <c r="D401" s="4"/>
      <c r="E401" s="4"/>
      <c r="F401" s="4"/>
      <c r="G401" s="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24">
      <c r="A402" s="14"/>
      <c r="B402" s="14"/>
      <c r="C402" s="14"/>
      <c r="D402" s="4"/>
      <c r="E402" s="4"/>
      <c r="F402" s="4"/>
      <c r="G402" s="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24">
      <c r="A403" s="14"/>
      <c r="B403" s="14"/>
      <c r="C403" s="14"/>
      <c r="D403" s="4"/>
      <c r="E403" s="4"/>
      <c r="F403" s="4"/>
      <c r="G403" s="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24">
      <c r="A404" s="14"/>
      <c r="B404" s="14"/>
      <c r="C404" s="14"/>
      <c r="D404" s="4"/>
      <c r="E404" s="4"/>
      <c r="F404" s="4"/>
      <c r="G404" s="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24">
      <c r="A405" s="14"/>
      <c r="B405" s="14"/>
      <c r="C405" s="14"/>
      <c r="D405" s="4"/>
      <c r="E405" s="4"/>
      <c r="F405" s="4"/>
      <c r="G405" s="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24">
      <c r="A406" s="14"/>
      <c r="B406" s="14"/>
      <c r="C406" s="14"/>
      <c r="D406" s="4"/>
      <c r="E406" s="4"/>
      <c r="F406" s="4"/>
      <c r="G406" s="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24">
      <c r="A407" s="14"/>
      <c r="B407" s="14"/>
      <c r="C407" s="14"/>
      <c r="D407" s="4"/>
      <c r="E407" s="4"/>
      <c r="F407" s="4"/>
      <c r="G407" s="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24">
      <c r="A408" s="14"/>
      <c r="B408" s="14"/>
      <c r="C408" s="14"/>
      <c r="D408" s="4"/>
      <c r="E408" s="4"/>
      <c r="F408" s="4"/>
      <c r="G408" s="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24">
      <c r="A409" s="14"/>
      <c r="B409" s="14"/>
      <c r="C409" s="14"/>
      <c r="D409" s="4"/>
      <c r="E409" s="4"/>
      <c r="F409" s="4"/>
      <c r="G409" s="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24">
      <c r="A410" s="14"/>
      <c r="B410" s="14"/>
      <c r="C410" s="14"/>
      <c r="D410" s="4"/>
      <c r="E410" s="4"/>
      <c r="F410" s="4"/>
      <c r="G410" s="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24">
      <c r="A411" s="14"/>
      <c r="B411" s="14"/>
      <c r="C411" s="14"/>
      <c r="D411" s="4"/>
      <c r="E411" s="4"/>
      <c r="F411" s="4"/>
      <c r="G411" s="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24">
      <c r="A412" s="14"/>
      <c r="B412" s="14"/>
      <c r="C412" s="14"/>
      <c r="D412" s="4"/>
      <c r="E412" s="4"/>
      <c r="F412" s="4"/>
      <c r="G412" s="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24">
      <c r="A413" s="14"/>
      <c r="B413" s="14"/>
      <c r="C413" s="14"/>
      <c r="D413" s="4"/>
      <c r="E413" s="4"/>
      <c r="F413" s="4"/>
      <c r="G413" s="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24">
      <c r="A414" s="14"/>
      <c r="B414" s="14"/>
      <c r="C414" s="14"/>
      <c r="D414" s="4"/>
      <c r="E414" s="4"/>
      <c r="F414" s="4"/>
      <c r="G414" s="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24">
      <c r="A415" s="14"/>
      <c r="B415" s="14"/>
      <c r="C415" s="14"/>
      <c r="D415" s="4"/>
      <c r="E415" s="4"/>
      <c r="F415" s="4"/>
      <c r="G415" s="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24">
      <c r="A416" s="14"/>
      <c r="B416" s="14"/>
      <c r="C416" s="14"/>
      <c r="D416" s="4"/>
      <c r="E416" s="4"/>
      <c r="F416" s="4"/>
      <c r="G416" s="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24">
      <c r="A417" s="14"/>
      <c r="B417" s="14"/>
      <c r="C417" s="14"/>
      <c r="D417" s="4"/>
      <c r="E417" s="4"/>
      <c r="F417" s="4"/>
      <c r="G417" s="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24">
      <c r="A418" s="14"/>
      <c r="B418" s="14"/>
      <c r="C418" s="14"/>
      <c r="D418" s="4"/>
      <c r="E418" s="4"/>
      <c r="F418" s="4"/>
      <c r="G418" s="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24">
      <c r="A419" s="14"/>
      <c r="B419" s="14"/>
      <c r="C419" s="14"/>
      <c r="D419" s="4"/>
      <c r="E419" s="4"/>
      <c r="F419" s="4"/>
      <c r="G419" s="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24">
      <c r="A420" s="14"/>
      <c r="B420" s="14"/>
      <c r="C420" s="14"/>
      <c r="D420" s="4"/>
      <c r="E420" s="4"/>
      <c r="F420" s="4"/>
      <c r="G420" s="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24">
      <c r="A421" s="14"/>
      <c r="B421" s="14"/>
      <c r="C421" s="14"/>
      <c r="D421" s="4"/>
      <c r="E421" s="4"/>
      <c r="F421" s="4"/>
      <c r="G421" s="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24">
      <c r="A422" s="14"/>
      <c r="B422" s="14"/>
      <c r="C422" s="14"/>
      <c r="D422" s="4"/>
      <c r="E422" s="4"/>
      <c r="F422" s="4"/>
      <c r="G422" s="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24">
      <c r="A423" s="14"/>
      <c r="B423" s="14"/>
      <c r="C423" s="14"/>
      <c r="D423" s="4"/>
      <c r="E423" s="4"/>
      <c r="F423" s="4"/>
      <c r="G423" s="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24">
      <c r="A424" s="14"/>
      <c r="B424" s="14"/>
      <c r="C424" s="14"/>
      <c r="D424" s="4"/>
      <c r="E424" s="4"/>
      <c r="F424" s="4"/>
      <c r="G424" s="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24">
      <c r="A425" s="14"/>
      <c r="B425" s="14"/>
      <c r="C425" s="14"/>
      <c r="D425" s="4"/>
      <c r="E425" s="4"/>
      <c r="F425" s="4"/>
      <c r="G425" s="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24">
      <c r="A426" s="14"/>
      <c r="B426" s="14"/>
      <c r="C426" s="14"/>
      <c r="D426" s="4"/>
      <c r="E426" s="4"/>
      <c r="F426" s="4"/>
      <c r="G426" s="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24">
      <c r="A427" s="14"/>
      <c r="B427" s="14"/>
      <c r="C427" s="14"/>
      <c r="D427" s="4"/>
      <c r="E427" s="4"/>
      <c r="F427" s="4"/>
      <c r="G427" s="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24">
      <c r="A428" s="14"/>
      <c r="B428" s="14"/>
      <c r="C428" s="14"/>
      <c r="D428" s="4"/>
      <c r="E428" s="4"/>
      <c r="F428" s="4"/>
      <c r="G428" s="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24">
      <c r="A429" s="14"/>
      <c r="B429" s="14"/>
      <c r="C429" s="14"/>
      <c r="D429" s="4"/>
      <c r="E429" s="4"/>
      <c r="F429" s="4"/>
      <c r="G429" s="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24">
      <c r="A430" s="14"/>
      <c r="B430" s="14"/>
      <c r="C430" s="14"/>
      <c r="D430" s="4"/>
      <c r="E430" s="4"/>
      <c r="F430" s="4"/>
      <c r="G430" s="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24">
      <c r="A431" s="14"/>
      <c r="B431" s="14"/>
      <c r="C431" s="14"/>
      <c r="D431" s="4"/>
      <c r="E431" s="4"/>
      <c r="F431" s="4"/>
      <c r="G431" s="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24">
      <c r="A432" s="14"/>
      <c r="B432" s="14"/>
      <c r="C432" s="14"/>
      <c r="D432" s="4"/>
      <c r="E432" s="4"/>
      <c r="F432" s="4"/>
      <c r="G432" s="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24">
      <c r="A433" s="14"/>
      <c r="B433" s="14"/>
      <c r="C433" s="14"/>
      <c r="D433" s="4"/>
      <c r="E433" s="4"/>
      <c r="F433" s="4"/>
      <c r="G433" s="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24">
      <c r="A434" s="14"/>
      <c r="B434" s="14"/>
      <c r="C434" s="14"/>
      <c r="D434" s="4"/>
      <c r="E434" s="4"/>
      <c r="F434" s="4"/>
      <c r="G434" s="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24">
      <c r="A435" s="14"/>
      <c r="B435" s="14"/>
      <c r="C435" s="14"/>
      <c r="D435" s="4"/>
      <c r="E435" s="4"/>
      <c r="F435" s="4"/>
      <c r="G435" s="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24">
      <c r="A436" s="14"/>
      <c r="B436" s="14"/>
      <c r="C436" s="14"/>
      <c r="D436" s="4"/>
      <c r="E436" s="4"/>
      <c r="F436" s="4"/>
      <c r="G436" s="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24">
      <c r="A437" s="14"/>
      <c r="B437" s="14"/>
      <c r="C437" s="14"/>
      <c r="D437" s="4"/>
      <c r="E437" s="4"/>
      <c r="F437" s="4"/>
      <c r="G437" s="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24">
      <c r="A438" s="14"/>
      <c r="B438" s="14"/>
      <c r="C438" s="14"/>
      <c r="D438" s="4"/>
      <c r="E438" s="4"/>
      <c r="F438" s="4"/>
      <c r="G438" s="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24">
      <c r="A439" s="14"/>
      <c r="B439" s="14"/>
      <c r="C439" s="14"/>
      <c r="D439" s="4"/>
      <c r="E439" s="4"/>
      <c r="F439" s="4"/>
      <c r="G439" s="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24">
      <c r="A440" s="14"/>
      <c r="B440" s="14"/>
      <c r="C440" s="14"/>
      <c r="D440" s="4"/>
      <c r="E440" s="4"/>
      <c r="F440" s="4"/>
      <c r="G440" s="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24">
      <c r="A441" s="14"/>
      <c r="B441" s="14"/>
      <c r="C441" s="14"/>
      <c r="D441" s="4"/>
      <c r="E441" s="4"/>
      <c r="F441" s="4"/>
      <c r="G441" s="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24">
      <c r="A442" s="14"/>
      <c r="B442" s="14"/>
      <c r="C442" s="14"/>
      <c r="D442" s="4"/>
      <c r="E442" s="4"/>
      <c r="F442" s="4"/>
      <c r="G442" s="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24">
      <c r="A443" s="14"/>
      <c r="B443" s="14"/>
      <c r="C443" s="14"/>
      <c r="D443" s="4"/>
      <c r="E443" s="4"/>
      <c r="F443" s="4"/>
      <c r="G443" s="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24">
      <c r="A444" s="14"/>
      <c r="B444" s="14"/>
      <c r="C444" s="14"/>
      <c r="D444" s="4"/>
      <c r="E444" s="4"/>
      <c r="F444" s="4"/>
      <c r="G444" s="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24">
      <c r="A445" s="14"/>
      <c r="B445" s="14"/>
      <c r="C445" s="14"/>
      <c r="D445" s="4"/>
      <c r="E445" s="4"/>
      <c r="F445" s="4"/>
      <c r="G445" s="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24">
      <c r="A446" s="14"/>
      <c r="B446" s="14"/>
      <c r="C446" s="14"/>
      <c r="D446" s="4"/>
      <c r="E446" s="4"/>
      <c r="F446" s="4"/>
      <c r="G446" s="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24">
      <c r="A447" s="14"/>
      <c r="B447" s="14"/>
      <c r="C447" s="14"/>
      <c r="D447" s="4"/>
      <c r="E447" s="4"/>
      <c r="F447" s="4"/>
      <c r="G447" s="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24">
      <c r="A448" s="14"/>
      <c r="B448" s="14"/>
      <c r="C448" s="14"/>
      <c r="D448" s="4"/>
      <c r="E448" s="4"/>
      <c r="F448" s="4"/>
      <c r="G448" s="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24">
      <c r="A449" s="14"/>
      <c r="B449" s="14"/>
      <c r="C449" s="14"/>
      <c r="D449" s="4"/>
      <c r="E449" s="4"/>
      <c r="F449" s="4"/>
      <c r="G449" s="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24">
      <c r="A450" s="14"/>
      <c r="B450" s="14"/>
      <c r="C450" s="14"/>
      <c r="D450" s="4"/>
      <c r="E450" s="4"/>
      <c r="F450" s="4"/>
      <c r="G450" s="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24">
      <c r="A451" s="14"/>
      <c r="B451" s="14"/>
      <c r="C451" s="14"/>
      <c r="D451" s="4"/>
      <c r="E451" s="4"/>
      <c r="F451" s="4"/>
      <c r="G451" s="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24">
      <c r="A452" s="14"/>
      <c r="B452" s="14"/>
      <c r="C452" s="14"/>
      <c r="D452" s="4"/>
      <c r="E452" s="4"/>
      <c r="F452" s="4"/>
      <c r="G452" s="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24">
      <c r="A453" s="14"/>
      <c r="B453" s="14"/>
      <c r="C453" s="14"/>
      <c r="D453" s="4"/>
      <c r="E453" s="4"/>
      <c r="F453" s="4"/>
      <c r="G453" s="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24">
      <c r="A454" s="14"/>
      <c r="B454" s="14"/>
      <c r="C454" s="14"/>
      <c r="D454" s="4"/>
      <c r="E454" s="4"/>
      <c r="F454" s="4"/>
      <c r="G454" s="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24">
      <c r="A455" s="14"/>
      <c r="B455" s="14"/>
      <c r="C455" s="14"/>
      <c r="D455" s="4"/>
      <c r="E455" s="4"/>
      <c r="F455" s="4"/>
      <c r="G455" s="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24">
      <c r="A456" s="14"/>
      <c r="B456" s="14"/>
      <c r="C456" s="14"/>
      <c r="D456" s="4"/>
      <c r="E456" s="4"/>
      <c r="F456" s="4"/>
      <c r="G456" s="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24">
      <c r="A457" s="14"/>
      <c r="B457" s="14"/>
      <c r="C457" s="14"/>
      <c r="D457" s="4"/>
      <c r="E457" s="4"/>
      <c r="F457" s="4"/>
      <c r="G457" s="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24">
      <c r="A458" s="14"/>
      <c r="B458" s="14"/>
      <c r="C458" s="14"/>
      <c r="D458" s="4"/>
      <c r="E458" s="4"/>
      <c r="F458" s="4"/>
      <c r="G458" s="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24">
      <c r="A459" s="14"/>
      <c r="B459" s="14"/>
      <c r="C459" s="14"/>
      <c r="D459" s="4"/>
      <c r="E459" s="4"/>
      <c r="F459" s="4"/>
      <c r="G459" s="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24">
      <c r="A460" s="14"/>
      <c r="B460" s="14"/>
      <c r="C460" s="14"/>
      <c r="D460" s="4"/>
      <c r="E460" s="4"/>
      <c r="F460" s="4"/>
      <c r="G460" s="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24">
      <c r="A461" s="14"/>
      <c r="B461" s="14"/>
      <c r="C461" s="14"/>
      <c r="D461" s="4"/>
      <c r="E461" s="4"/>
      <c r="F461" s="4"/>
      <c r="G461" s="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24">
      <c r="A462" s="14"/>
      <c r="B462" s="14"/>
      <c r="C462" s="14"/>
      <c r="D462" s="4"/>
      <c r="E462" s="4"/>
      <c r="F462" s="4"/>
      <c r="G462" s="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24">
      <c r="A463" s="14"/>
      <c r="B463" s="14"/>
      <c r="C463" s="14"/>
      <c r="D463" s="4"/>
      <c r="E463" s="4"/>
      <c r="F463" s="4"/>
      <c r="G463" s="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24">
      <c r="A464" s="14"/>
      <c r="B464" s="14"/>
      <c r="C464" s="14"/>
      <c r="D464" s="4"/>
      <c r="E464" s="4"/>
      <c r="F464" s="4"/>
      <c r="G464" s="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24">
      <c r="A465" s="14"/>
      <c r="B465" s="14"/>
      <c r="C465" s="14"/>
      <c r="D465" s="4"/>
      <c r="E465" s="4"/>
      <c r="F465" s="4"/>
      <c r="G465" s="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24">
      <c r="A466" s="14"/>
      <c r="B466" s="14"/>
      <c r="C466" s="14"/>
      <c r="D466" s="4"/>
      <c r="E466" s="4"/>
      <c r="F466" s="4"/>
      <c r="G466" s="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24">
      <c r="A467" s="14"/>
      <c r="B467" s="14"/>
      <c r="C467" s="14"/>
      <c r="D467" s="4"/>
      <c r="E467" s="4"/>
      <c r="F467" s="4"/>
      <c r="G467" s="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24">
      <c r="A468" s="14"/>
      <c r="B468" s="14"/>
      <c r="C468" s="14"/>
      <c r="D468" s="4"/>
      <c r="E468" s="4"/>
      <c r="F468" s="4"/>
      <c r="G468" s="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24">
      <c r="A469" s="14"/>
      <c r="B469" s="14"/>
      <c r="C469" s="14"/>
      <c r="D469" s="4"/>
      <c r="E469" s="4"/>
      <c r="F469" s="4"/>
      <c r="G469" s="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24">
      <c r="A470" s="14"/>
      <c r="B470" s="14"/>
      <c r="C470" s="14"/>
      <c r="D470" s="4"/>
      <c r="E470" s="4"/>
      <c r="F470" s="4"/>
      <c r="G470" s="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24">
      <c r="A471" s="14"/>
      <c r="B471" s="14"/>
      <c r="C471" s="14"/>
      <c r="D471" s="4"/>
      <c r="E471" s="4"/>
      <c r="F471" s="4"/>
      <c r="G471" s="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24">
      <c r="A472" s="14"/>
      <c r="B472" s="14"/>
      <c r="C472" s="14"/>
      <c r="D472" s="4"/>
      <c r="E472" s="4"/>
      <c r="F472" s="4"/>
      <c r="G472" s="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24">
      <c r="A473" s="14"/>
      <c r="B473" s="14"/>
      <c r="C473" s="14"/>
      <c r="D473" s="4"/>
      <c r="E473" s="4"/>
      <c r="F473" s="4"/>
      <c r="G473" s="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24">
      <c r="A474" s="14"/>
      <c r="B474" s="14"/>
      <c r="C474" s="14"/>
      <c r="D474" s="4"/>
      <c r="E474" s="4"/>
      <c r="F474" s="4"/>
      <c r="G474" s="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24">
      <c r="A475" s="14"/>
      <c r="B475" s="14"/>
      <c r="C475" s="14"/>
      <c r="D475" s="4"/>
      <c r="E475" s="4"/>
      <c r="F475" s="4"/>
      <c r="G475" s="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24">
      <c r="A476" s="14"/>
      <c r="B476" s="14"/>
      <c r="C476" s="14"/>
      <c r="D476" s="4"/>
      <c r="E476" s="4"/>
      <c r="F476" s="4"/>
      <c r="G476" s="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24">
      <c r="A477" s="14"/>
      <c r="B477" s="14"/>
      <c r="C477" s="14"/>
      <c r="D477" s="4"/>
      <c r="E477" s="4"/>
      <c r="F477" s="4"/>
      <c r="G477" s="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24">
      <c r="A478" s="14"/>
      <c r="B478" s="14"/>
      <c r="C478" s="14"/>
      <c r="D478" s="4"/>
      <c r="E478" s="4"/>
      <c r="F478" s="4"/>
      <c r="G478" s="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24">
      <c r="A479" s="14"/>
      <c r="B479" s="14"/>
      <c r="C479" s="14"/>
      <c r="D479" s="4"/>
      <c r="E479" s="4"/>
      <c r="F479" s="4"/>
      <c r="G479" s="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24">
      <c r="A480" s="14"/>
      <c r="B480" s="14"/>
      <c r="C480" s="14"/>
      <c r="D480" s="4"/>
      <c r="E480" s="4"/>
      <c r="F480" s="4"/>
      <c r="G480" s="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24">
      <c r="A481" s="14"/>
      <c r="B481" s="14"/>
      <c r="C481" s="14"/>
      <c r="D481" s="4"/>
      <c r="E481" s="4"/>
      <c r="F481" s="4"/>
      <c r="G481" s="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24">
      <c r="A482" s="14"/>
      <c r="B482" s="14"/>
      <c r="C482" s="14"/>
      <c r="D482" s="4"/>
      <c r="E482" s="4"/>
      <c r="F482" s="4"/>
      <c r="G482" s="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24">
      <c r="A483" s="14"/>
      <c r="B483" s="14"/>
      <c r="C483" s="14"/>
      <c r="D483" s="4"/>
      <c r="E483" s="4"/>
      <c r="F483" s="4"/>
      <c r="G483" s="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24">
      <c r="A484" s="14"/>
      <c r="B484" s="14"/>
      <c r="C484" s="14"/>
      <c r="D484" s="4"/>
      <c r="E484" s="4"/>
      <c r="F484" s="4"/>
      <c r="G484" s="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24">
      <c r="A485" s="14"/>
      <c r="B485" s="14"/>
      <c r="C485" s="14"/>
      <c r="D485" s="4"/>
      <c r="E485" s="4"/>
      <c r="F485" s="4"/>
      <c r="G485" s="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24">
      <c r="A486" s="14"/>
      <c r="B486" s="14"/>
      <c r="C486" s="14"/>
      <c r="D486" s="4"/>
      <c r="E486" s="4"/>
      <c r="F486" s="4"/>
      <c r="G486" s="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24">
      <c r="A487" s="14"/>
      <c r="B487" s="14"/>
      <c r="C487" s="14"/>
      <c r="D487" s="4"/>
      <c r="E487" s="4"/>
      <c r="F487" s="4"/>
      <c r="G487" s="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24">
      <c r="A488" s="14"/>
      <c r="B488" s="14"/>
      <c r="C488" s="14"/>
      <c r="D488" s="4"/>
      <c r="E488" s="4"/>
      <c r="F488" s="4"/>
      <c r="G488" s="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24">
      <c r="A489" s="14"/>
      <c r="B489" s="14"/>
      <c r="C489" s="14"/>
      <c r="D489" s="4"/>
      <c r="E489" s="4"/>
      <c r="F489" s="4"/>
      <c r="G489" s="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24">
      <c r="A490" s="14"/>
      <c r="B490" s="14"/>
      <c r="C490" s="14"/>
      <c r="D490" s="4"/>
      <c r="E490" s="4"/>
      <c r="F490" s="4"/>
      <c r="G490" s="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24">
      <c r="A491" s="14"/>
      <c r="B491" s="14"/>
      <c r="C491" s="14"/>
      <c r="D491" s="4"/>
      <c r="E491" s="4"/>
      <c r="F491" s="4"/>
      <c r="G491" s="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24">
      <c r="A492" s="14"/>
      <c r="B492" s="14"/>
      <c r="C492" s="14"/>
      <c r="D492" s="4"/>
      <c r="E492" s="4"/>
      <c r="F492" s="4"/>
      <c r="G492" s="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24">
      <c r="A493" s="14"/>
      <c r="B493" s="14"/>
      <c r="C493" s="14"/>
      <c r="D493" s="4"/>
      <c r="E493" s="4"/>
      <c r="F493" s="4"/>
      <c r="G493" s="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24">
      <c r="A494" s="14"/>
      <c r="B494" s="14"/>
      <c r="C494" s="14"/>
      <c r="D494" s="4"/>
      <c r="E494" s="4"/>
      <c r="F494" s="4"/>
      <c r="G494" s="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24">
      <c r="A495" s="14"/>
      <c r="B495" s="14"/>
      <c r="C495" s="14"/>
      <c r="D495" s="4"/>
      <c r="E495" s="4"/>
      <c r="F495" s="4"/>
      <c r="G495" s="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24">
      <c r="A496" s="14"/>
      <c r="B496" s="14"/>
      <c r="C496" s="14"/>
      <c r="D496" s="4"/>
      <c r="E496" s="4"/>
      <c r="F496" s="4"/>
      <c r="G496" s="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24">
      <c r="A497" s="14"/>
      <c r="B497" s="14"/>
      <c r="C497" s="14"/>
      <c r="D497" s="4"/>
      <c r="E497" s="4"/>
      <c r="F497" s="4"/>
      <c r="G497" s="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24">
      <c r="A498" s="14"/>
      <c r="B498" s="14"/>
      <c r="C498" s="14"/>
      <c r="D498" s="4"/>
      <c r="E498" s="4"/>
      <c r="F498" s="4"/>
      <c r="G498" s="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24">
      <c r="A499" s="14"/>
      <c r="B499" s="14"/>
      <c r="C499" s="14"/>
      <c r="D499" s="4"/>
      <c r="E499" s="4"/>
      <c r="F499" s="4"/>
      <c r="G499" s="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24">
      <c r="A500" s="14"/>
      <c r="B500" s="14"/>
      <c r="C500" s="14"/>
      <c r="D500" s="4"/>
      <c r="E500" s="4"/>
      <c r="F500" s="4"/>
      <c r="G500" s="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24">
      <c r="A501" s="14"/>
      <c r="B501" s="14"/>
      <c r="C501" s="14"/>
      <c r="D501" s="4"/>
      <c r="E501" s="4"/>
      <c r="F501" s="4"/>
      <c r="G501" s="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24">
      <c r="A502" s="14"/>
      <c r="B502" s="14"/>
      <c r="C502" s="14"/>
      <c r="D502" s="4"/>
      <c r="E502" s="4"/>
      <c r="F502" s="4"/>
      <c r="G502" s="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24">
      <c r="A503" s="14"/>
      <c r="B503" s="14"/>
      <c r="C503" s="14"/>
      <c r="D503" s="4"/>
      <c r="E503" s="4"/>
      <c r="F503" s="4"/>
      <c r="G503" s="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24">
      <c r="A504" s="14"/>
      <c r="B504" s="14"/>
      <c r="C504" s="14"/>
      <c r="D504" s="4"/>
      <c r="E504" s="4"/>
      <c r="F504" s="4"/>
      <c r="G504" s="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24">
      <c r="A505" s="14"/>
      <c r="B505" s="14"/>
      <c r="C505" s="14"/>
      <c r="D505" s="4"/>
      <c r="E505" s="4"/>
      <c r="F505" s="4"/>
      <c r="G505" s="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24">
      <c r="A506" s="14"/>
      <c r="B506" s="14"/>
      <c r="C506" s="14"/>
      <c r="D506" s="4"/>
      <c r="E506" s="4"/>
      <c r="F506" s="4"/>
      <c r="G506" s="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24">
      <c r="A507" s="14"/>
      <c r="B507" s="14"/>
      <c r="C507" s="14"/>
      <c r="D507" s="4"/>
      <c r="E507" s="4"/>
      <c r="F507" s="4"/>
      <c r="G507" s="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24">
      <c r="A508" s="14"/>
      <c r="B508" s="14"/>
      <c r="C508" s="14"/>
      <c r="D508" s="4"/>
      <c r="E508" s="4"/>
      <c r="F508" s="4"/>
      <c r="G508" s="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24">
      <c r="A509" s="14"/>
      <c r="B509" s="14"/>
      <c r="C509" s="14"/>
      <c r="D509" s="4"/>
      <c r="E509" s="4"/>
      <c r="F509" s="4"/>
      <c r="G509" s="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24">
      <c r="A510" s="14"/>
      <c r="B510" s="14"/>
      <c r="C510" s="14"/>
      <c r="D510" s="4"/>
      <c r="E510" s="4"/>
      <c r="F510" s="4"/>
      <c r="G510" s="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24">
      <c r="A511" s="14"/>
      <c r="B511" s="14"/>
      <c r="C511" s="14"/>
      <c r="D511" s="4"/>
      <c r="E511" s="4"/>
      <c r="F511" s="4"/>
      <c r="G511" s="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24">
      <c r="A512" s="14"/>
      <c r="B512" s="14"/>
      <c r="C512" s="14"/>
      <c r="D512" s="4"/>
      <c r="E512" s="4"/>
      <c r="F512" s="4"/>
      <c r="G512" s="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24">
      <c r="A513" s="14"/>
      <c r="B513" s="14"/>
      <c r="C513" s="14"/>
      <c r="D513" s="4"/>
      <c r="E513" s="4"/>
      <c r="F513" s="4"/>
      <c r="G513" s="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24">
      <c r="A514" s="14"/>
      <c r="B514" s="14"/>
      <c r="C514" s="14"/>
      <c r="D514" s="4"/>
      <c r="E514" s="4"/>
      <c r="F514" s="4"/>
      <c r="G514" s="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24">
      <c r="A515" s="14"/>
      <c r="B515" s="14"/>
      <c r="C515" s="14"/>
      <c r="D515" s="4"/>
      <c r="E515" s="4"/>
      <c r="F515" s="4"/>
      <c r="G515" s="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24">
      <c r="A516" s="14"/>
      <c r="B516" s="14"/>
      <c r="C516" s="14"/>
      <c r="D516" s="4"/>
      <c r="E516" s="4"/>
      <c r="F516" s="4"/>
      <c r="G516" s="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24">
      <c r="A517" s="14"/>
      <c r="B517" s="14"/>
      <c r="C517" s="14"/>
      <c r="D517" s="4"/>
      <c r="E517" s="4"/>
      <c r="F517" s="4"/>
      <c r="G517" s="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24">
      <c r="A518" s="14"/>
      <c r="B518" s="14"/>
      <c r="C518" s="14"/>
      <c r="D518" s="4"/>
      <c r="E518" s="4"/>
      <c r="F518" s="4"/>
      <c r="G518" s="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24">
      <c r="A519" s="14"/>
      <c r="B519" s="14"/>
      <c r="C519" s="14"/>
      <c r="D519" s="4"/>
      <c r="E519" s="4"/>
      <c r="F519" s="4"/>
      <c r="G519" s="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24">
      <c r="A520" s="14"/>
      <c r="B520" s="14"/>
      <c r="C520" s="14"/>
      <c r="D520" s="4"/>
      <c r="E520" s="4"/>
      <c r="F520" s="4"/>
      <c r="G520" s="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24">
      <c r="A521" s="4"/>
      <c r="B521" s="4"/>
      <c r="C521" s="4"/>
      <c r="D521" s="4"/>
      <c r="E521" s="4"/>
      <c r="F521" s="4"/>
      <c r="G521" s="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24">
      <c r="A522" s="4"/>
      <c r="B522" s="4"/>
      <c r="C522" s="4"/>
      <c r="D522" s="4"/>
      <c r="E522" s="4"/>
      <c r="F522" s="4"/>
      <c r="G522" s="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24">
      <c r="A523" s="4"/>
      <c r="B523" s="4"/>
      <c r="C523" s="4"/>
      <c r="D523" s="4"/>
      <c r="E523" s="4"/>
      <c r="F523" s="4"/>
      <c r="G523" s="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24">
      <c r="A524" s="4"/>
      <c r="B524" s="4"/>
      <c r="C524" s="4"/>
      <c r="D524" s="4"/>
      <c r="E524" s="4"/>
      <c r="F524" s="4"/>
      <c r="G524" s="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24">
      <c r="A525" s="4"/>
      <c r="B525" s="4"/>
      <c r="C525" s="4"/>
      <c r="D525" s="4"/>
      <c r="E525" s="4"/>
      <c r="F525" s="4"/>
      <c r="G525" s="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24">
      <c r="A526" s="4"/>
      <c r="B526" s="4"/>
      <c r="C526" s="4"/>
      <c r="D526" s="4"/>
      <c r="E526" s="4"/>
      <c r="F526" s="4"/>
      <c r="G526" s="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24">
      <c r="A527" s="4"/>
      <c r="B527" s="4"/>
      <c r="C527" s="4"/>
      <c r="D527" s="4"/>
      <c r="E527" s="4"/>
      <c r="F527" s="4"/>
      <c r="G527" s="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24">
      <c r="A528" s="4"/>
      <c r="B528" s="4"/>
      <c r="C528" s="4"/>
      <c r="D528" s="4"/>
      <c r="E528" s="4"/>
      <c r="F528" s="4"/>
      <c r="G528" s="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24">
      <c r="A529" s="4"/>
      <c r="B529" s="4"/>
      <c r="C529" s="4"/>
      <c r="D529" s="4"/>
      <c r="E529" s="4"/>
      <c r="F529" s="4"/>
      <c r="G529" s="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24">
      <c r="A530" s="4"/>
      <c r="B530" s="4"/>
      <c r="C530" s="4"/>
      <c r="D530" s="4"/>
      <c r="E530" s="4"/>
      <c r="F530" s="4"/>
      <c r="G530" s="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24">
      <c r="A531" s="4"/>
      <c r="B531" s="4"/>
      <c r="C531" s="4"/>
      <c r="D531" s="4"/>
      <c r="E531" s="4"/>
      <c r="F531" s="4"/>
      <c r="G531" s="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24">
      <c r="A532" s="4"/>
      <c r="B532" s="4"/>
      <c r="C532" s="4"/>
      <c r="D532" s="4"/>
      <c r="E532" s="4"/>
      <c r="F532" s="4"/>
      <c r="G532" s="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24">
      <c r="A533" s="4"/>
      <c r="B533" s="4"/>
      <c r="C533" s="4"/>
      <c r="D533" s="4"/>
      <c r="E533" s="4"/>
      <c r="F533" s="4"/>
      <c r="G533" s="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24">
      <c r="A534" s="4"/>
      <c r="B534" s="4"/>
      <c r="C534" s="4"/>
      <c r="D534" s="4"/>
      <c r="E534" s="4"/>
      <c r="F534" s="4"/>
      <c r="G534" s="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24">
      <c r="A535" s="4"/>
      <c r="B535" s="4"/>
      <c r="C535" s="4"/>
      <c r="D535" s="4"/>
      <c r="E535" s="4"/>
      <c r="F535" s="4"/>
      <c r="G535" s="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24">
      <c r="A536" s="4"/>
      <c r="B536" s="4"/>
      <c r="C536" s="4"/>
      <c r="D536" s="4"/>
      <c r="E536" s="4"/>
      <c r="F536" s="4"/>
      <c r="G536" s="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24">
      <c r="A537" s="4"/>
      <c r="B537" s="4"/>
      <c r="C537" s="4"/>
      <c r="D537" s="4"/>
      <c r="E537" s="4"/>
      <c r="F537" s="4"/>
      <c r="G537" s="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24">
      <c r="A538" s="4"/>
      <c r="B538" s="4"/>
      <c r="C538" s="4"/>
      <c r="D538" s="4"/>
      <c r="E538" s="4"/>
      <c r="F538" s="4"/>
      <c r="G538" s="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24">
      <c r="A539" s="4"/>
      <c r="B539" s="4"/>
      <c r="C539" s="4"/>
      <c r="D539" s="4"/>
      <c r="E539" s="4"/>
      <c r="F539" s="4"/>
      <c r="G539" s="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24">
      <c r="A540" s="4"/>
      <c r="B540" s="4"/>
      <c r="C540" s="4"/>
      <c r="D540" s="4"/>
      <c r="E540" s="4"/>
      <c r="F540" s="4"/>
      <c r="G540" s="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24">
      <c r="A541" s="4"/>
      <c r="B541" s="4"/>
      <c r="C541" s="4"/>
      <c r="D541" s="4"/>
      <c r="E541" s="4"/>
      <c r="F541" s="4"/>
      <c r="G541" s="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24">
      <c r="A542" s="4"/>
      <c r="B542" s="4"/>
      <c r="C542" s="4"/>
      <c r="D542" s="4"/>
      <c r="E542" s="4"/>
      <c r="F542" s="4"/>
      <c r="G542" s="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24">
      <c r="A543" s="4"/>
      <c r="B543" s="4"/>
      <c r="C543" s="4"/>
      <c r="D543" s="4"/>
      <c r="E543" s="4"/>
      <c r="F543" s="4"/>
      <c r="G543" s="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24">
      <c r="A544" s="4"/>
      <c r="B544" s="4"/>
      <c r="C544" s="4"/>
      <c r="D544" s="4"/>
      <c r="E544" s="4"/>
      <c r="F544" s="4"/>
      <c r="G544" s="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24">
      <c r="A545" s="4"/>
      <c r="B545" s="4"/>
      <c r="C545" s="4"/>
      <c r="D545" s="4"/>
      <c r="E545" s="4"/>
      <c r="F545" s="4"/>
      <c r="G545" s="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24">
      <c r="A546" s="4"/>
      <c r="B546" s="4"/>
      <c r="C546" s="4"/>
      <c r="D546" s="4"/>
      <c r="E546" s="4"/>
      <c r="F546" s="4"/>
      <c r="G546" s="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24">
      <c r="A547" s="4"/>
      <c r="B547" s="4"/>
      <c r="C547" s="4"/>
      <c r="D547" s="4"/>
      <c r="E547" s="4"/>
      <c r="F547" s="4"/>
      <c r="G547" s="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24">
      <c r="A548" s="4"/>
      <c r="B548" s="4"/>
      <c r="C548" s="4"/>
      <c r="D548" s="4"/>
      <c r="E548" s="4"/>
      <c r="F548" s="4"/>
      <c r="G548" s="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24">
      <c r="A549" s="4"/>
      <c r="B549" s="4"/>
      <c r="C549" s="4"/>
      <c r="D549" s="4"/>
      <c r="E549" s="4"/>
      <c r="F549" s="4"/>
      <c r="G549" s="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24">
      <c r="A550" s="4"/>
      <c r="B550" s="4"/>
      <c r="C550" s="4"/>
      <c r="D550" s="4"/>
      <c r="E550" s="4"/>
      <c r="F550" s="4"/>
      <c r="G550" s="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24">
      <c r="A551" s="4"/>
      <c r="B551" s="4"/>
      <c r="C551" s="4"/>
      <c r="D551" s="4"/>
      <c r="E551" s="4"/>
      <c r="F551" s="4"/>
      <c r="G551" s="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24">
      <c r="A552" s="4"/>
      <c r="B552" s="4"/>
      <c r="C552" s="4"/>
      <c r="D552" s="4"/>
      <c r="E552" s="4"/>
      <c r="F552" s="4"/>
      <c r="G552" s="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24">
      <c r="A553" s="4"/>
      <c r="B553" s="4"/>
      <c r="C553" s="4"/>
      <c r="D553" s="4"/>
      <c r="E553" s="4"/>
      <c r="F553" s="4"/>
      <c r="G553" s="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24">
      <c r="A554" s="4"/>
      <c r="B554" s="4"/>
      <c r="C554" s="4"/>
      <c r="D554" s="4"/>
      <c r="E554" s="4"/>
      <c r="F554" s="4"/>
      <c r="G554" s="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24">
      <c r="A555" s="4"/>
      <c r="B555" s="4"/>
      <c r="C555" s="4"/>
      <c r="D555" s="4"/>
      <c r="E555" s="4"/>
      <c r="F555" s="4"/>
      <c r="G555" s="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24">
      <c r="A556" s="4"/>
      <c r="B556" s="4"/>
      <c r="C556" s="4"/>
      <c r="D556" s="4"/>
      <c r="E556" s="4"/>
      <c r="F556" s="4"/>
      <c r="G556" s="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24">
      <c r="A557" s="4"/>
      <c r="B557" s="4"/>
      <c r="C557" s="4"/>
      <c r="D557" s="4"/>
      <c r="E557" s="4"/>
      <c r="F557" s="4"/>
      <c r="G557" s="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24">
      <c r="A558" s="4"/>
      <c r="B558" s="4"/>
      <c r="C558" s="4"/>
      <c r="D558" s="4"/>
      <c r="E558" s="4"/>
      <c r="F558" s="4"/>
      <c r="G558" s="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24">
      <c r="A559" s="4"/>
      <c r="B559" s="4"/>
      <c r="C559" s="4"/>
      <c r="D559" s="4"/>
      <c r="E559" s="4"/>
      <c r="F559" s="4"/>
      <c r="G559" s="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24">
      <c r="A560" s="4"/>
      <c r="B560" s="4"/>
      <c r="C560" s="4"/>
      <c r="D560" s="4"/>
      <c r="E560" s="4"/>
      <c r="F560" s="4"/>
      <c r="G560" s="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24">
      <c r="A561" s="4"/>
      <c r="B561" s="4"/>
      <c r="C561" s="4"/>
      <c r="D561" s="4"/>
      <c r="E561" s="4"/>
      <c r="F561" s="4"/>
      <c r="G561" s="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24">
      <c r="A562" s="4"/>
      <c r="B562" s="4"/>
      <c r="C562" s="4"/>
      <c r="D562" s="4"/>
      <c r="E562" s="4"/>
      <c r="F562" s="4"/>
      <c r="G562" s="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24">
      <c r="A563" s="4"/>
      <c r="B563" s="4"/>
      <c r="C563" s="4"/>
      <c r="D563" s="4"/>
      <c r="E563" s="4"/>
      <c r="F563" s="4"/>
      <c r="G563" s="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24">
      <c r="A564" s="4"/>
      <c r="B564" s="4"/>
      <c r="C564" s="4"/>
      <c r="D564" s="4"/>
      <c r="E564" s="4"/>
      <c r="F564" s="4"/>
      <c r="G564" s="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24">
      <c r="A565" s="4"/>
      <c r="B565" s="4"/>
      <c r="C565" s="4"/>
      <c r="D565" s="4"/>
      <c r="E565" s="4"/>
      <c r="F565" s="4"/>
      <c r="G565" s="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24">
      <c r="A566" s="4"/>
      <c r="B566" s="4"/>
      <c r="C566" s="4"/>
      <c r="D566" s="4"/>
      <c r="E566" s="4"/>
      <c r="F566" s="4"/>
      <c r="G566" s="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24">
      <c r="A567" s="4"/>
      <c r="B567" s="4"/>
      <c r="C567" s="4"/>
      <c r="D567" s="4"/>
      <c r="E567" s="4"/>
      <c r="F567" s="4"/>
      <c r="G567" s="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24">
      <c r="A568" s="4"/>
      <c r="B568" s="4"/>
      <c r="C568" s="4"/>
      <c r="D568" s="4"/>
      <c r="E568" s="4"/>
      <c r="F568" s="4"/>
      <c r="G568" s="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24">
      <c r="A569" s="4"/>
      <c r="B569" s="4"/>
      <c r="C569" s="4"/>
      <c r="D569" s="4"/>
      <c r="E569" s="4"/>
      <c r="F569" s="4"/>
      <c r="G569" s="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24">
      <c r="A570" s="4"/>
      <c r="B570" s="4"/>
      <c r="C570" s="4"/>
      <c r="D570" s="4"/>
      <c r="E570" s="4"/>
      <c r="F570" s="4"/>
      <c r="G570" s="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24">
      <c r="A571" s="4"/>
      <c r="B571" s="4"/>
      <c r="C571" s="4"/>
      <c r="D571" s="4"/>
      <c r="E571" s="4"/>
      <c r="F571" s="4"/>
      <c r="G571" s="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24">
      <c r="A572" s="4"/>
      <c r="B572" s="4"/>
      <c r="C572" s="4"/>
      <c r="D572" s="4"/>
      <c r="E572" s="4"/>
      <c r="F572" s="4"/>
      <c r="G572" s="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24">
      <c r="A573" s="4"/>
      <c r="B573" s="4"/>
      <c r="C573" s="4"/>
      <c r="D573" s="4"/>
      <c r="E573" s="4"/>
      <c r="F573" s="4"/>
      <c r="G573" s="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24">
      <c r="A574" s="4"/>
      <c r="B574" s="4"/>
      <c r="C574" s="4"/>
      <c r="D574" s="4"/>
      <c r="E574" s="4"/>
      <c r="F574" s="4"/>
      <c r="G574" s="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24">
      <c r="A575" s="4"/>
      <c r="B575" s="4"/>
      <c r="C575" s="4"/>
      <c r="D575" s="4"/>
      <c r="E575" s="4"/>
      <c r="F575" s="4"/>
      <c r="G575" s="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24">
      <c r="A576" s="4"/>
      <c r="B576" s="4"/>
      <c r="C576" s="4"/>
      <c r="D576" s="4"/>
      <c r="E576" s="4"/>
      <c r="F576" s="4"/>
      <c r="G576" s="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24">
      <c r="A577" s="4"/>
      <c r="B577" s="4"/>
      <c r="C577" s="4"/>
      <c r="D577" s="4"/>
      <c r="E577" s="4"/>
      <c r="F577" s="4"/>
      <c r="G577" s="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24">
      <c r="A578" s="4"/>
      <c r="B578" s="4"/>
      <c r="C578" s="4"/>
      <c r="D578" s="4"/>
      <c r="E578" s="4"/>
      <c r="F578" s="4"/>
      <c r="G578" s="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24">
      <c r="A579" s="4"/>
      <c r="B579" s="4"/>
      <c r="C579" s="4"/>
      <c r="D579" s="4"/>
      <c r="E579" s="4"/>
      <c r="F579" s="4"/>
      <c r="G579" s="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24">
      <c r="A580" s="4"/>
      <c r="B580" s="4"/>
      <c r="C580" s="4"/>
      <c r="D580" s="4"/>
      <c r="E580" s="4"/>
      <c r="F580" s="4"/>
      <c r="G580" s="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24">
      <c r="A581" s="4"/>
      <c r="B581" s="4"/>
      <c r="C581" s="4"/>
      <c r="D581" s="4"/>
      <c r="E581" s="4"/>
      <c r="F581" s="4"/>
      <c r="G581" s="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24">
      <c r="A582" s="4"/>
      <c r="B582" s="4"/>
      <c r="C582" s="4"/>
      <c r="D582" s="4"/>
      <c r="E582" s="4"/>
      <c r="F582" s="4"/>
      <c r="G582" s="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24">
      <c r="A583" s="4"/>
      <c r="B583" s="4"/>
      <c r="C583" s="4"/>
      <c r="D583" s="4"/>
      <c r="E583" s="4"/>
      <c r="F583" s="4"/>
      <c r="G583" s="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24">
      <c r="A584" s="4"/>
      <c r="B584" s="4"/>
      <c r="C584" s="4"/>
      <c r="D584" s="4"/>
      <c r="E584" s="4"/>
      <c r="F584" s="4"/>
      <c r="G584" s="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24">
      <c r="A585" s="4"/>
      <c r="B585" s="4"/>
      <c r="C585" s="4"/>
      <c r="D585" s="4"/>
      <c r="E585" s="4"/>
      <c r="F585" s="4"/>
      <c r="G585" s="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24">
      <c r="A586" s="4"/>
      <c r="B586" s="4"/>
      <c r="C586" s="4"/>
      <c r="D586" s="4"/>
      <c r="E586" s="4"/>
      <c r="F586" s="4"/>
      <c r="G586" s="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24">
      <c r="A587" s="4"/>
      <c r="B587" s="4"/>
      <c r="C587" s="4"/>
      <c r="D587" s="4"/>
      <c r="E587" s="4"/>
      <c r="F587" s="4"/>
      <c r="G587" s="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24">
      <c r="A588" s="4"/>
      <c r="B588" s="4"/>
      <c r="C588" s="4"/>
      <c r="D588" s="4"/>
      <c r="E588" s="4"/>
      <c r="F588" s="4"/>
      <c r="G588" s="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24">
      <c r="A589" s="4"/>
      <c r="B589" s="4"/>
      <c r="C589" s="4"/>
      <c r="D589" s="4"/>
      <c r="E589" s="4"/>
      <c r="F589" s="4"/>
      <c r="G589" s="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24">
      <c r="A590" s="4"/>
      <c r="B590" s="4"/>
      <c r="C590" s="4"/>
      <c r="D590" s="4"/>
      <c r="E590" s="4"/>
      <c r="F590" s="4"/>
      <c r="G590" s="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24">
      <c r="A591" s="4"/>
      <c r="B591" s="4"/>
      <c r="C591" s="4"/>
      <c r="D591" s="4"/>
      <c r="E591" s="4"/>
      <c r="F591" s="4"/>
      <c r="G591" s="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24">
      <c r="A592" s="4"/>
      <c r="B592" s="4"/>
      <c r="C592" s="4"/>
      <c r="D592" s="4"/>
      <c r="E592" s="4"/>
      <c r="F592" s="4"/>
      <c r="G592" s="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24">
      <c r="A593" s="4"/>
      <c r="B593" s="4"/>
      <c r="C593" s="4"/>
      <c r="D593" s="4"/>
      <c r="E593" s="4"/>
      <c r="F593" s="4"/>
      <c r="G593" s="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24">
      <c r="A594" s="4"/>
      <c r="B594" s="4"/>
      <c r="C594" s="4"/>
      <c r="D594" s="4"/>
      <c r="E594" s="4"/>
      <c r="F594" s="4"/>
      <c r="G594" s="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24">
      <c r="A595" s="4"/>
      <c r="B595" s="4"/>
      <c r="C595" s="4"/>
      <c r="D595" s="4"/>
      <c r="E595" s="4"/>
      <c r="F595" s="4"/>
      <c r="G595" s="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24">
      <c r="A596" s="4"/>
      <c r="B596" s="4"/>
      <c r="C596" s="4"/>
      <c r="D596" s="4"/>
      <c r="E596" s="4"/>
      <c r="F596" s="4"/>
      <c r="G596" s="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24">
      <c r="A597" s="4"/>
      <c r="B597" s="4"/>
      <c r="C597" s="4"/>
      <c r="D597" s="4"/>
      <c r="E597" s="4"/>
      <c r="F597" s="4"/>
      <c r="G597" s="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24">
      <c r="A598" s="4"/>
      <c r="B598" s="4"/>
      <c r="C598" s="4"/>
      <c r="D598" s="4"/>
      <c r="E598" s="4"/>
      <c r="F598" s="4"/>
      <c r="G598" s="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24">
      <c r="A599" s="4"/>
      <c r="B599" s="4"/>
      <c r="C599" s="4"/>
      <c r="D599" s="4"/>
      <c r="E599" s="4"/>
      <c r="F599" s="4"/>
      <c r="G599" s="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24">
      <c r="A600" s="4"/>
      <c r="B600" s="4"/>
      <c r="C600" s="4"/>
      <c r="D600" s="4"/>
      <c r="E600" s="4"/>
      <c r="F600" s="4"/>
      <c r="G600" s="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24">
      <c r="A601" s="4"/>
      <c r="B601" s="4"/>
      <c r="C601" s="4"/>
      <c r="D601" s="4"/>
      <c r="E601" s="4"/>
      <c r="F601" s="4"/>
      <c r="G601" s="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24">
      <c r="A602" s="4"/>
      <c r="B602" s="4"/>
      <c r="C602" s="4"/>
      <c r="D602" s="4"/>
      <c r="E602" s="4"/>
      <c r="F602" s="4"/>
      <c r="G602" s="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24">
      <c r="A603" s="4"/>
      <c r="B603" s="4"/>
      <c r="C603" s="4"/>
      <c r="D603" s="4"/>
      <c r="E603" s="4"/>
      <c r="F603" s="4"/>
      <c r="G603" s="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24">
      <c r="A604" s="4"/>
      <c r="B604" s="4"/>
      <c r="C604" s="4"/>
      <c r="D604" s="4"/>
      <c r="E604" s="4"/>
      <c r="F604" s="4"/>
      <c r="G604" s="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24">
      <c r="A605" s="4"/>
      <c r="B605" s="4"/>
      <c r="C605" s="4"/>
      <c r="D605" s="4"/>
      <c r="E605" s="4"/>
      <c r="F605" s="4"/>
      <c r="G605" s="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24">
      <c r="A606" s="4"/>
      <c r="B606" s="4"/>
      <c r="C606" s="4"/>
      <c r="D606" s="4"/>
      <c r="E606" s="4"/>
      <c r="F606" s="4"/>
      <c r="G606" s="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24">
      <c r="A607" s="4"/>
      <c r="B607" s="4"/>
      <c r="C607" s="4"/>
      <c r="D607" s="4"/>
      <c r="E607" s="4"/>
      <c r="F607" s="4"/>
      <c r="G607" s="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24">
      <c r="A608" s="4"/>
      <c r="B608" s="4"/>
      <c r="C608" s="4"/>
      <c r="D608" s="4"/>
      <c r="E608" s="4"/>
      <c r="F608" s="4"/>
      <c r="G608" s="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24">
      <c r="A609" s="4"/>
      <c r="B609" s="4"/>
      <c r="C609" s="4"/>
      <c r="D609" s="4"/>
      <c r="E609" s="4"/>
      <c r="F609" s="4"/>
      <c r="G609" s="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24">
      <c r="A610" s="4"/>
      <c r="B610" s="4"/>
      <c r="C610" s="4"/>
      <c r="D610" s="4"/>
      <c r="E610" s="4"/>
      <c r="F610" s="4"/>
      <c r="G610" s="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24">
      <c r="A611" s="4"/>
      <c r="B611" s="4"/>
      <c r="C611" s="4"/>
      <c r="D611" s="4"/>
      <c r="E611" s="4"/>
      <c r="F611" s="4"/>
      <c r="G611" s="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24">
      <c r="A612" s="4"/>
      <c r="B612" s="4"/>
      <c r="C612" s="4"/>
      <c r="D612" s="4"/>
      <c r="E612" s="4"/>
      <c r="F612" s="4"/>
      <c r="G612" s="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24">
      <c r="A613" s="4"/>
      <c r="B613" s="4"/>
      <c r="C613" s="4"/>
      <c r="D613" s="4"/>
      <c r="E613" s="4"/>
      <c r="F613" s="4"/>
      <c r="G613" s="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24">
      <c r="A614" s="4"/>
      <c r="B614" s="4"/>
      <c r="C614" s="4"/>
      <c r="D614" s="4"/>
      <c r="E614" s="4"/>
      <c r="F614" s="4"/>
      <c r="G614" s="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24">
      <c r="A615" s="4"/>
      <c r="B615" s="4"/>
      <c r="C615" s="4"/>
      <c r="D615" s="4"/>
      <c r="E615" s="4"/>
      <c r="F615" s="4"/>
      <c r="G615" s="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24">
      <c r="A616" s="4"/>
      <c r="B616" s="4"/>
      <c r="C616" s="4"/>
      <c r="D616" s="4"/>
      <c r="E616" s="4"/>
      <c r="F616" s="4"/>
      <c r="G616" s="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24">
      <c r="A617" s="4"/>
      <c r="B617" s="4"/>
      <c r="C617" s="4"/>
      <c r="D617" s="4"/>
      <c r="E617" s="4"/>
      <c r="F617" s="4"/>
      <c r="G617" s="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24">
      <c r="A618" s="4"/>
      <c r="B618" s="4"/>
      <c r="C618" s="4"/>
      <c r="D618" s="4"/>
      <c r="E618" s="4"/>
      <c r="F618" s="4"/>
      <c r="G618" s="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24">
      <c r="A619" s="4"/>
      <c r="B619" s="4"/>
      <c r="C619" s="4"/>
      <c r="D619" s="4"/>
      <c r="E619" s="4"/>
      <c r="F619" s="4"/>
      <c r="G619" s="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24">
      <c r="A620" s="4"/>
      <c r="B620" s="4"/>
      <c r="C620" s="4"/>
      <c r="D620" s="4"/>
      <c r="E620" s="4"/>
      <c r="F620" s="4"/>
      <c r="G620" s="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24">
      <c r="A621" s="4"/>
      <c r="B621" s="4"/>
      <c r="C621" s="4"/>
      <c r="D621" s="4"/>
      <c r="E621" s="4"/>
      <c r="F621" s="4"/>
      <c r="G621" s="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24">
      <c r="A622" s="4"/>
      <c r="B622" s="4"/>
      <c r="C622" s="4"/>
      <c r="D622" s="4"/>
      <c r="E622" s="4"/>
      <c r="F622" s="4"/>
      <c r="G622" s="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24">
      <c r="A623" s="4"/>
      <c r="B623" s="4"/>
      <c r="C623" s="4"/>
      <c r="D623" s="4"/>
      <c r="E623" s="4"/>
      <c r="F623" s="4"/>
      <c r="G623" s="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24">
      <c r="A624" s="4"/>
      <c r="B624" s="4"/>
      <c r="C624" s="4"/>
      <c r="D624" s="4"/>
      <c r="E624" s="4"/>
      <c r="F624" s="4"/>
      <c r="G624" s="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24">
      <c r="A625" s="4"/>
      <c r="B625" s="4"/>
      <c r="C625" s="4"/>
      <c r="D625" s="4"/>
      <c r="E625" s="4"/>
      <c r="F625" s="4"/>
      <c r="G625" s="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24">
      <c r="A626" s="4"/>
      <c r="B626" s="4"/>
      <c r="C626" s="4"/>
      <c r="D626" s="4"/>
      <c r="E626" s="4"/>
      <c r="F626" s="4"/>
      <c r="G626" s="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24">
      <c r="A627" s="4"/>
      <c r="B627" s="4"/>
      <c r="C627" s="4"/>
      <c r="D627" s="4"/>
      <c r="E627" s="4"/>
      <c r="F627" s="4"/>
      <c r="G627" s="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24">
      <c r="A628" s="4"/>
      <c r="B628" s="4"/>
      <c r="C628" s="4"/>
      <c r="D628" s="4"/>
      <c r="E628" s="4"/>
      <c r="F628" s="4"/>
      <c r="G628" s="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24">
      <c r="A629" s="4"/>
      <c r="B629" s="4"/>
      <c r="C629" s="4"/>
      <c r="D629" s="4"/>
      <c r="E629" s="4"/>
      <c r="F629" s="4"/>
      <c r="G629" s="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24">
      <c r="A630" s="4"/>
      <c r="B630" s="4"/>
      <c r="C630" s="4"/>
      <c r="D630" s="4"/>
      <c r="E630" s="4"/>
      <c r="F630" s="4"/>
      <c r="G630" s="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24">
      <c r="A631" s="4"/>
      <c r="B631" s="4"/>
      <c r="C631" s="4"/>
      <c r="D631" s="4"/>
      <c r="E631" s="4"/>
      <c r="F631" s="4"/>
      <c r="G631" s="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24">
      <c r="A632" s="4"/>
      <c r="B632" s="4"/>
      <c r="C632" s="4"/>
      <c r="D632" s="4"/>
      <c r="E632" s="4"/>
      <c r="F632" s="4"/>
      <c r="G632" s="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24">
      <c r="A633" s="4"/>
      <c r="B633" s="4"/>
      <c r="C633" s="4"/>
      <c r="D633" s="4"/>
      <c r="E633" s="4"/>
      <c r="F633" s="4"/>
      <c r="G633" s="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24">
      <c r="A634" s="4"/>
      <c r="B634" s="4"/>
      <c r="C634" s="4"/>
      <c r="D634" s="4"/>
      <c r="E634" s="4"/>
      <c r="F634" s="4"/>
      <c r="G634" s="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24">
      <c r="A635" s="4"/>
      <c r="B635" s="4"/>
      <c r="C635" s="4"/>
      <c r="D635" s="4"/>
      <c r="E635" s="4"/>
      <c r="F635" s="4"/>
      <c r="G635" s="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24">
      <c r="A636" s="4"/>
      <c r="B636" s="4"/>
      <c r="C636" s="4"/>
      <c r="D636" s="4"/>
      <c r="E636" s="4"/>
      <c r="F636" s="4"/>
      <c r="G636" s="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</sheetData>
  <mergeCells count="5">
    <mergeCell ref="A1:K1"/>
    <mergeCell ref="A4:C4"/>
    <mergeCell ref="D4:K4"/>
    <mergeCell ref="E13:I13"/>
    <mergeCell ref="J13:M13"/>
  </mergeCells>
  <dataValidations count="1">
    <dataValidation type="list" allowBlank="1" showErrorMessage="1" sqref="G15:G29 J15:J29" xr:uid="{5CFA57CF-DA0D-440C-9865-7F500FE2ED2A}">
      <formula1>"0,0.25,0.50,0.75,1.0,N/A"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2026-01-29T17:56:24Z</dcterms:created>
  <dcterms:modified xsi:type="dcterms:W3CDTF">2026-01-29T17:56:38Z</dcterms:modified>
</cp:coreProperties>
</file>