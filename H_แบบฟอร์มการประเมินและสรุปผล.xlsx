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3F72D5D-D80A-4D53-AFD7-124177F87B8B}" xr6:coauthVersionLast="47" xr6:coauthVersionMax="47" xr10:uidLastSave="{00000000-0000-0000-0000-000000000000}"/>
  <bookViews>
    <workbookView xWindow="1170" yWindow="1170" windowWidth="14400" windowHeight="7335" xr2:uid="{4F4DC8D0-BC24-4CF1-BDF7-3BF03740189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" i="1" l="1"/>
  <c r="E23" i="1"/>
  <c r="E22" i="1"/>
  <c r="F22" i="1" s="1"/>
  <c r="F21" i="1"/>
  <c r="E21" i="1"/>
  <c r="E20" i="1"/>
  <c r="F20" i="1" s="1"/>
  <c r="E24" i="1" l="1"/>
  <c r="E28" i="1" l="1"/>
  <c r="F24" i="1"/>
</calcChain>
</file>

<file path=xl/sharedStrings.xml><?xml version="1.0" encoding="utf-8"?>
<sst xmlns="http://schemas.openxmlformats.org/spreadsheetml/2006/main" count="54" uniqueCount="51">
  <si>
    <t>ส่วนที่ 4: แบบฟอร์มการประเมินและสรุปผล</t>
  </si>
  <si>
    <t>ส่วนนี้เป็นแบบฟอร์มสำหรับการบันทึกผลการประเมินและสรุปคะแนนรวม เพื่อจัดระดับสถานประกอบการตามเกณฑ์ HICM V2025</t>
  </si>
  <si>
    <t>ข้อมูลพื้นฐานสถานประกอบการ</t>
  </si>
  <si>
    <t>ชื่อสถานประกอบการ :</t>
  </si>
  <si>
    <t>ที่อยู่ :</t>
  </si>
  <si>
    <t>ประเภทอุตสาหกรรม :</t>
  </si>
  <si>
    <t>จำนวนพนักงาน :</t>
  </si>
  <si>
    <t>ผู้ประเมิน :</t>
  </si>
  <si>
    <t>ตำแหน่ง :</t>
  </si>
  <si>
    <t>วันที่ประเมิน :</t>
  </si>
  <si>
    <t>รอบการประเมิน :</t>
  </si>
  <si>
    <t>สรุปผลคะแนนแต่ละ Pillar</t>
  </si>
  <si>
    <t>Pillar</t>
  </si>
  <si>
    <t>คะแนนเต็ม</t>
  </si>
  <si>
    <t>คะแนนที่ได้</t>
  </si>
  <si>
    <t>ร้อยละ (%)</t>
  </si>
  <si>
    <t>H1: Health Promotion</t>
  </si>
  <si>
    <t>I2: Industrial Safety &amp; Environment</t>
  </si>
  <si>
    <t>C3: Community Engagement</t>
  </si>
  <si>
    <t>M4: Management &amp; Sustainability</t>
  </si>
  <si>
    <t>รวมคะแนนทั้งหมด</t>
  </si>
  <si>
    <t>ระดับการรับรอง HICM</t>
  </si>
  <si>
    <t>ระดับ</t>
  </si>
  <si>
    <t>คะแนน</t>
  </si>
  <si>
    <t>ผลการประเมิน</t>
  </si>
  <si>
    <t>Level 1: เริ่มต้น (Emerging)</t>
  </si>
  <si>
    <t>&lt; 600</t>
  </si>
  <si>
    <t>Level 2: กำลังพัฒนา (Developing)</t>
  </si>
  <si>
    <t>600-699</t>
  </si>
  <si>
    <t>Level 3: พัฒนาดี (Performing)</t>
  </si>
  <si>
    <t>700-799</t>
  </si>
  <si>
    <t>Level 4: เป็นเลิศ (Excellence)</t>
  </si>
  <si>
    <t>800-899</t>
  </si>
  <si>
    <t>Level 5: ระดับโลก (World-Class)</t>
  </si>
  <si>
    <t>900-1000</t>
  </si>
  <si>
    <t>วิเคราะห์จุดแข็งและจุดที่ควรพัฒนา</t>
  </si>
  <si>
    <t>จุดแข็ง
 (Strengths)</t>
  </si>
  <si>
    <t>1)
2)
3)</t>
  </si>
  <si>
    <r>
      <rPr>
        <b/>
        <sz val="16"/>
        <color theme="1"/>
        <rFont val="TH SarabunPSK"/>
      </rPr>
      <t xml:space="preserve">จุดที่ควรพัฒนา </t>
    </r>
    <r>
      <rPr>
        <b/>
        <sz val="16"/>
        <color theme="1"/>
        <rFont val="TH SarabunPSK"/>
      </rPr>
      <t xml:space="preserve">
(Areas for Improvement)</t>
    </r>
  </si>
  <si>
    <t>แผนการพัฒนาในรอบถัดไป</t>
  </si>
  <si>
    <t>ลำดับ</t>
  </si>
  <si>
    <t>กิจกรรม/โครงการ</t>
  </si>
  <si>
    <t>ผู้รับผิดชอบ</t>
  </si>
  <si>
    <t>ระยะเวลา</t>
  </si>
  <si>
    <t>งบประมาณ</t>
  </si>
  <si>
    <t>ลายเซ็นผู้ประเมินและผู้อนุมัติ</t>
  </si>
  <si>
    <t xml:space="preserve">ผู้ประเมิน: </t>
  </si>
  <si>
    <t xml:space="preserve">วันที่: </t>
  </si>
  <si>
    <t>ผู้ตรวจสอบ:</t>
  </si>
  <si>
    <t xml:space="preserve">ผู้อนุมัติ:  </t>
  </si>
  <si>
    <t>(ผู้บริหารระดับสูง)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</si>
</sst>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22"/>
      <scheme val="minor"/>
    </font>
    <font>
      <sz val="16"/>
      <color rgb="FF000000"/>
      <name val="TH SarabunPSK"/>
    </font>
    <font>
      <b/>
      <sz val="16"/>
      <color rgb="FF000000"/>
      <name val="TH SarabunPSK"/>
    </font>
    <font>
      <sz val="16"/>
      <color theme="1"/>
      <name val="TH SarabunPSK"/>
    </font>
    <font>
      <sz val="10"/>
      <name val="Arial"/>
    </font>
    <font>
      <b/>
      <sz val="16"/>
      <color rgb="FFFF0000"/>
      <name val="TH SarabunPSK"/>
    </font>
    <font>
      <b/>
      <sz val="16"/>
      <color theme="1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2" fillId="0" borderId="0" xfId="0" applyFont="1" applyAlignment="1">
      <alignment horizontal="right" vertical="top"/>
    </xf>
    <xf numFmtId="0" fontId="1" fillId="0" borderId="2" xfId="0" applyFont="1" applyBorder="1" applyAlignment="1">
      <alignment vertical="top"/>
    </xf>
    <xf numFmtId="0" fontId="4" fillId="0" borderId="2" xfId="0" applyFont="1" applyBorder="1"/>
    <xf numFmtId="0" fontId="2" fillId="2" borderId="1" xfId="0" applyFont="1" applyFill="1" applyBorder="1"/>
    <xf numFmtId="0" fontId="2" fillId="0" borderId="0" xfId="0" applyFont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1" fontId="2" fillId="4" borderId="3" xfId="0" applyNumberFormat="1" applyFont="1" applyFill="1" applyBorder="1" applyAlignment="1">
      <alignment horizontal="center" vertical="top"/>
    </xf>
    <xf numFmtId="2" fontId="2" fillId="4" borderId="3" xfId="0" applyNumberFormat="1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/>
    </xf>
    <xf numFmtId="3" fontId="2" fillId="5" borderId="3" xfId="0" applyNumberFormat="1" applyFont="1" applyFill="1" applyBorder="1" applyAlignment="1">
      <alignment horizontal="center" vertical="top"/>
    </xf>
    <xf numFmtId="0" fontId="5" fillId="2" borderId="1" xfId="0" applyFont="1" applyFill="1" applyBorder="1"/>
    <xf numFmtId="0" fontId="2" fillId="4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6" fillId="3" borderId="7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0" borderId="0" xfId="0" applyFont="1" applyAlignment="1">
      <alignment horizontal="center" vertical="center"/>
    </xf>
    <xf numFmtId="0" fontId="4" fillId="0" borderId="10" xfId="0" applyFont="1" applyBorder="1"/>
    <xf numFmtId="0" fontId="6" fillId="0" borderId="0" xfId="0" applyFont="1" applyAlignment="1">
      <alignment vertical="top"/>
    </xf>
    <xf numFmtId="0" fontId="2" fillId="3" borderId="11" xfId="0" applyFont="1" applyFill="1" applyBorder="1"/>
    <xf numFmtId="0" fontId="4" fillId="0" borderId="12" xfId="0" applyFont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1" xfId="0" applyFont="1" applyBorder="1"/>
    <xf numFmtId="0" fontId="2" fillId="6" borderId="15" xfId="0" applyFont="1" applyFill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15" xfId="0" applyFont="1" applyBorder="1" applyAlignment="1">
      <alignment vertical="top"/>
    </xf>
    <xf numFmtId="0" fontId="1" fillId="0" borderId="2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ปก"/>
      <sheetName val="ส่วนที่ 1"/>
      <sheetName val="ส่วนที่ 2"/>
      <sheetName val="ส่วนที่ 3 (H)"/>
      <sheetName val="ทดสอบ"/>
      <sheetName val="ส่วนที่ 3 (I)"/>
      <sheetName val="ส่วนที่ 3 (C)"/>
      <sheetName val="ส่วนที่ 3 (M)"/>
      <sheetName val="สรุปผล"/>
      <sheetName val="ส่วนที่ 4"/>
    </sheetNames>
    <sheetDataSet>
      <sheetData sheetId="0"/>
      <sheetData sheetId="1"/>
      <sheetData sheetId="2"/>
      <sheetData sheetId="3">
        <row r="31">
          <cell r="J31">
            <v>290</v>
          </cell>
        </row>
      </sheetData>
      <sheetData sheetId="4"/>
      <sheetData sheetId="5">
        <row r="30">
          <cell r="K30">
            <v>40</v>
          </cell>
        </row>
      </sheetData>
      <sheetData sheetId="6">
        <row r="30">
          <cell r="J30">
            <v>200.00000000000003</v>
          </cell>
        </row>
      </sheetData>
      <sheetData sheetId="7">
        <row r="30">
          <cell r="J30">
            <v>200.00000000000003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0196-0C14-44F3-A5DD-6695D9BF7A18}">
  <dimension ref="A1:Z1000"/>
  <sheetViews>
    <sheetView tabSelected="1" workbookViewId="0">
      <selection sqref="A1:XFD1048576"/>
    </sheetView>
  </sheetViews>
  <sheetFormatPr defaultColWidth="12.5703125" defaultRowHeight="15"/>
  <cols>
    <col min="2" max="2" width="17.5703125" customWidth="1"/>
    <col min="3" max="3" width="32.85546875" customWidth="1"/>
    <col min="5" max="5" width="20.42578125" customWidth="1"/>
    <col min="7" max="7" width="4.7109375" customWidth="1"/>
  </cols>
  <sheetData>
    <row r="1" spans="1:26" ht="2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>
      <c r="A3" s="2" t="s">
        <v>0</v>
      </c>
      <c r="B3" s="3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>
      <c r="A4" s="1"/>
      <c r="B4" s="1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>
      <c r="A5" s="1"/>
      <c r="B5" s="1" t="s">
        <v>1</v>
      </c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1"/>
      <c r="B6" s="1"/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customHeight="1" thickBot="1">
      <c r="A7" s="6" t="s">
        <v>2</v>
      </c>
      <c r="B7" s="7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 customHeight="1" thickTop="1">
      <c r="A8" s="1"/>
      <c r="B8" s="8" t="s">
        <v>3</v>
      </c>
      <c r="C8" s="9"/>
      <c r="D8" s="10"/>
      <c r="E8" s="10"/>
      <c r="F8" s="10"/>
      <c r="G8" s="10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 customHeight="1">
      <c r="A9" s="1"/>
      <c r="B9" s="8" t="s">
        <v>4</v>
      </c>
      <c r="C9" s="9"/>
      <c r="D9" s="10"/>
      <c r="E9" s="10"/>
      <c r="F9" s="10"/>
      <c r="G9" s="10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 customHeight="1">
      <c r="A10" s="1"/>
      <c r="B10" s="8" t="s">
        <v>5</v>
      </c>
      <c r="C10" s="9"/>
      <c r="D10" s="10"/>
      <c r="E10" s="10"/>
      <c r="F10" s="10"/>
      <c r="G10" s="10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 customHeight="1">
      <c r="A11" s="1"/>
      <c r="B11" s="8" t="s">
        <v>6</v>
      </c>
      <c r="C11" s="9"/>
      <c r="D11" s="10"/>
      <c r="E11" s="10"/>
      <c r="F11" s="10"/>
      <c r="G11" s="10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 customHeight="1">
      <c r="A12" s="1"/>
      <c r="B12" s="8" t="s">
        <v>7</v>
      </c>
      <c r="C12" s="9"/>
      <c r="D12" s="10"/>
      <c r="E12" s="10"/>
      <c r="F12" s="10"/>
      <c r="G12" s="10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5" customHeight="1">
      <c r="A13" s="1"/>
      <c r="B13" s="8" t="s">
        <v>8</v>
      </c>
      <c r="C13" s="9"/>
      <c r="D13" s="10"/>
      <c r="E13" s="10"/>
      <c r="F13" s="10"/>
      <c r="G13" s="10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 customHeight="1">
      <c r="A14" s="1"/>
      <c r="B14" s="8" t="s">
        <v>9</v>
      </c>
      <c r="C14" s="9"/>
      <c r="D14" s="10"/>
      <c r="E14" s="10"/>
      <c r="F14" s="10"/>
      <c r="G14" s="10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customHeight="1">
      <c r="A15" s="1"/>
      <c r="B15" s="8" t="s">
        <v>10</v>
      </c>
      <c r="C15" s="9"/>
      <c r="D15" s="10"/>
      <c r="E15" s="10"/>
      <c r="F15" s="10"/>
      <c r="G15" s="10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>
      <c r="A16" s="1"/>
      <c r="B16" s="1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75" thickBot="1">
      <c r="A17" s="11" t="s">
        <v>11</v>
      </c>
      <c r="B17" s="7"/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thickTop="1">
      <c r="A18" s="1"/>
      <c r="B18" s="5"/>
      <c r="C18" s="12"/>
      <c r="D18" s="12"/>
      <c r="E18" s="12"/>
      <c r="F18" s="12"/>
      <c r="G18" s="1"/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>
      <c r="A19" s="1"/>
      <c r="B19" s="5"/>
      <c r="C19" s="13" t="s">
        <v>12</v>
      </c>
      <c r="D19" s="13" t="s">
        <v>13</v>
      </c>
      <c r="E19" s="13" t="s">
        <v>14</v>
      </c>
      <c r="F19" s="13" t="s">
        <v>15</v>
      </c>
      <c r="G19" s="1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">
      <c r="A20" s="1"/>
      <c r="B20" s="5"/>
      <c r="C20" s="14" t="s">
        <v>16</v>
      </c>
      <c r="D20" s="15">
        <v>300</v>
      </c>
      <c r="E20" s="16">
        <f>'[1]ส่วนที่ 3 (H)'!J31</f>
        <v>290</v>
      </c>
      <c r="F20" s="17">
        <f t="shared" ref="F20:F24" si="0">(E20/D20)*100</f>
        <v>96.666666666666671</v>
      </c>
      <c r="G20" s="1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>
      <c r="A21" s="1"/>
      <c r="B21" s="5"/>
      <c r="C21" s="14" t="s">
        <v>17</v>
      </c>
      <c r="D21" s="15">
        <v>300</v>
      </c>
      <c r="E21" s="16">
        <f>'[1]ส่วนที่ 3 (I)'!K30</f>
        <v>40</v>
      </c>
      <c r="F21" s="17">
        <f t="shared" si="0"/>
        <v>13.333333333333334</v>
      </c>
      <c r="G21" s="1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>
      <c r="A22" s="1"/>
      <c r="B22" s="5"/>
      <c r="C22" s="14" t="s">
        <v>18</v>
      </c>
      <c r="D22" s="15">
        <v>200</v>
      </c>
      <c r="E22" s="16">
        <f>'[1]ส่วนที่ 3 (C)'!J30</f>
        <v>200.00000000000003</v>
      </c>
      <c r="F22" s="18">
        <f t="shared" si="0"/>
        <v>100.00000000000003</v>
      </c>
      <c r="G22" s="1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>
      <c r="A23" s="1"/>
      <c r="B23" s="5"/>
      <c r="C23" s="14" t="s">
        <v>19</v>
      </c>
      <c r="D23" s="15">
        <v>200</v>
      </c>
      <c r="E23" s="16">
        <f>'[1]ส่วนที่ 3 (M)'!J30</f>
        <v>200.00000000000003</v>
      </c>
      <c r="F23" s="18">
        <f t="shared" si="0"/>
        <v>100.00000000000003</v>
      </c>
      <c r="G23" s="1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">
      <c r="A24" s="1"/>
      <c r="B24" s="5"/>
      <c r="C24" s="19" t="s">
        <v>20</v>
      </c>
      <c r="D24" s="20">
        <v>1000</v>
      </c>
      <c r="E24" s="20">
        <f>SUM(E20:E23)</f>
        <v>730</v>
      </c>
      <c r="F24" s="19">
        <f t="shared" si="0"/>
        <v>73</v>
      </c>
      <c r="G24" s="1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">
      <c r="A25" s="1"/>
      <c r="B25" s="5"/>
      <c r="C25" s="4"/>
      <c r="D25" s="1"/>
      <c r="E25" s="1"/>
      <c r="F25" s="1"/>
      <c r="G25" s="1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thickBot="1">
      <c r="A26" s="21" t="s">
        <v>21</v>
      </c>
      <c r="B26" s="7"/>
      <c r="C26" s="5"/>
      <c r="D26" s="1"/>
      <c r="E26" s="1"/>
      <c r="F26" s="1"/>
      <c r="G26" s="1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thickTop="1">
      <c r="A27" s="1"/>
      <c r="B27" s="5"/>
      <c r="C27" s="19" t="s">
        <v>22</v>
      </c>
      <c r="D27" s="19" t="s">
        <v>23</v>
      </c>
      <c r="E27" s="19" t="s">
        <v>24</v>
      </c>
      <c r="F27" s="1"/>
      <c r="G27" s="1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">
      <c r="A28" s="1"/>
      <c r="B28" s="5"/>
      <c r="C28" s="14" t="s">
        <v>25</v>
      </c>
      <c r="D28" s="15" t="s">
        <v>26</v>
      </c>
      <c r="E28" s="22" t="str">
        <f>IF(E24&lt;=600,C28,IF(E24&lt;=699,C29,IF(E24&lt;=799,C30,IF(E24&lt;=899,C31,IF(E24&lt;=1000,C32,"NO")))))</f>
        <v>Level 3: พัฒนาดี (Performing)</v>
      </c>
      <c r="F28" s="1"/>
      <c r="G28" s="1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">
      <c r="A29" s="1"/>
      <c r="B29" s="5"/>
      <c r="C29" s="14" t="s">
        <v>27</v>
      </c>
      <c r="D29" s="15" t="s">
        <v>28</v>
      </c>
      <c r="E29" s="23"/>
      <c r="F29" s="1"/>
      <c r="G29" s="1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">
      <c r="A30" s="1"/>
      <c r="B30" s="5"/>
      <c r="C30" s="14" t="s">
        <v>29</v>
      </c>
      <c r="D30" s="15" t="s">
        <v>30</v>
      </c>
      <c r="E30" s="23"/>
      <c r="F30" s="1"/>
      <c r="G30" s="1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">
      <c r="A31" s="1"/>
      <c r="B31" s="5"/>
      <c r="C31" s="14" t="s">
        <v>31</v>
      </c>
      <c r="D31" s="15" t="s">
        <v>32</v>
      </c>
      <c r="E31" s="23"/>
      <c r="F31" s="1"/>
      <c r="G31" s="1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">
      <c r="A32" s="1"/>
      <c r="B32" s="5"/>
      <c r="C32" s="14" t="s">
        <v>33</v>
      </c>
      <c r="D32" s="15" t="s">
        <v>34</v>
      </c>
      <c r="E32" s="24"/>
      <c r="F32" s="1"/>
      <c r="G32" s="1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75" customHeight="1">
      <c r="A33" s="1"/>
      <c r="B33" s="4"/>
      <c r="C33" s="1"/>
      <c r="D33" s="1"/>
      <c r="E33" s="1"/>
      <c r="F33" s="1"/>
      <c r="G33" s="1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>
      <c r="A34" s="1"/>
      <c r="B34" s="4"/>
      <c r="C34" s="1"/>
      <c r="D34" s="1"/>
      <c r="E34" s="1"/>
      <c r="F34" s="1"/>
      <c r="G34" s="1"/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thickBot="1">
      <c r="A35" s="11" t="s">
        <v>35</v>
      </c>
      <c r="B35" s="7"/>
      <c r="C35" s="1"/>
      <c r="D35" s="1"/>
      <c r="E35" s="1"/>
      <c r="F35" s="1"/>
      <c r="G35" s="1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thickTop="1">
      <c r="A36" s="1"/>
      <c r="B36" s="4"/>
      <c r="C36" s="1"/>
      <c r="D36" s="1"/>
      <c r="E36" s="1"/>
      <c r="F36" s="1"/>
      <c r="G36" s="1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thickBot="1">
      <c r="A37" s="25"/>
      <c r="B37" s="26"/>
      <c r="C37" s="1"/>
      <c r="D37" s="1"/>
      <c r="E37" s="1"/>
      <c r="F37" s="1"/>
      <c r="G37" s="1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thickTop="1">
      <c r="A38" s="1"/>
      <c r="B38" s="27" t="s">
        <v>36</v>
      </c>
      <c r="C38" s="28"/>
      <c r="D38" s="28"/>
      <c r="E38" s="28"/>
      <c r="F38" s="28"/>
      <c r="G38" s="29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7.5" customHeight="1">
      <c r="A39" s="30"/>
      <c r="B39" s="31"/>
      <c r="C39" s="32" t="s">
        <v>37</v>
      </c>
      <c r="D39" s="3"/>
      <c r="E39" s="3"/>
      <c r="F39" s="3"/>
      <c r="G39" s="33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thickBot="1">
      <c r="A40" s="30"/>
      <c r="B40" s="34"/>
      <c r="C40" s="35"/>
      <c r="D40" s="35"/>
      <c r="E40" s="35"/>
      <c r="F40" s="35"/>
      <c r="G40" s="36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thickTop="1">
      <c r="A41" s="30"/>
      <c r="B41" s="5"/>
      <c r="C41" s="1"/>
      <c r="D41" s="1"/>
      <c r="E41" s="1"/>
      <c r="F41" s="1"/>
      <c r="G41" s="1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thickBot="1">
      <c r="A42" s="30"/>
      <c r="B42" s="5"/>
      <c r="C42" s="1"/>
      <c r="D42" s="1"/>
      <c r="E42" s="1"/>
      <c r="F42" s="1"/>
      <c r="G42" s="1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thickTop="1">
      <c r="A43" s="1"/>
      <c r="B43" s="27" t="s">
        <v>38</v>
      </c>
      <c r="C43" s="28"/>
      <c r="D43" s="28"/>
      <c r="E43" s="28"/>
      <c r="F43" s="28"/>
      <c r="G43" s="29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7.5" customHeight="1">
      <c r="A44" s="30"/>
      <c r="B44" s="31"/>
      <c r="C44" s="32" t="s">
        <v>37</v>
      </c>
      <c r="D44" s="3"/>
      <c r="E44" s="3"/>
      <c r="F44" s="3"/>
      <c r="G44" s="33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75" thickBot="1">
      <c r="A45" s="30"/>
      <c r="B45" s="34"/>
      <c r="C45" s="35"/>
      <c r="D45" s="35"/>
      <c r="E45" s="35"/>
      <c r="F45" s="35"/>
      <c r="G45" s="36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75" thickTop="1">
      <c r="A46" s="30"/>
      <c r="B46" s="5"/>
      <c r="C46" s="1"/>
      <c r="D46" s="1"/>
      <c r="E46" s="1"/>
      <c r="F46" s="1"/>
      <c r="G46" s="1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">
      <c r="A47" s="30"/>
      <c r="B47" s="5"/>
      <c r="C47" s="1"/>
      <c r="D47" s="1"/>
      <c r="E47" s="1"/>
      <c r="F47" s="1"/>
      <c r="G47" s="1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">
      <c r="A48" s="1"/>
      <c r="B48" s="4"/>
      <c r="C48" s="1"/>
      <c r="D48" s="1"/>
      <c r="E48" s="1"/>
      <c r="F48" s="1"/>
      <c r="G48" s="1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75" thickBot="1">
      <c r="A49" s="37" t="s">
        <v>39</v>
      </c>
      <c r="B49" s="38"/>
      <c r="C49" s="1"/>
      <c r="D49" s="1"/>
      <c r="E49" s="1"/>
      <c r="F49" s="1"/>
      <c r="G49" s="1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thickTop="1" thickBot="1">
      <c r="A50" s="1"/>
      <c r="B50" s="12"/>
      <c r="C50" s="12"/>
      <c r="D50" s="12"/>
      <c r="E50" s="12"/>
      <c r="F50" s="12"/>
      <c r="G50" s="1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thickTop="1" thickBot="1">
      <c r="A51" s="1"/>
      <c r="B51" s="39" t="s">
        <v>40</v>
      </c>
      <c r="C51" s="39" t="s">
        <v>41</v>
      </c>
      <c r="D51" s="39" t="s">
        <v>42</v>
      </c>
      <c r="E51" s="39" t="s">
        <v>43</v>
      </c>
      <c r="F51" s="39" t="s">
        <v>44</v>
      </c>
      <c r="G51" s="1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thickTop="1" thickBot="1">
      <c r="A52" s="1"/>
      <c r="B52" s="40">
        <v>1</v>
      </c>
      <c r="C52" s="41"/>
      <c r="D52" s="41"/>
      <c r="E52" s="41"/>
      <c r="F52" s="41"/>
      <c r="G52" s="1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thickTop="1" thickBot="1">
      <c r="A53" s="1"/>
      <c r="B53" s="40">
        <v>2</v>
      </c>
      <c r="C53" s="41"/>
      <c r="D53" s="41"/>
      <c r="E53" s="41"/>
      <c r="F53" s="41"/>
      <c r="G53" s="1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thickTop="1" thickBot="1">
      <c r="A54" s="1"/>
      <c r="B54" s="40">
        <v>3</v>
      </c>
      <c r="C54" s="41"/>
      <c r="D54" s="41"/>
      <c r="E54" s="41"/>
      <c r="F54" s="41"/>
      <c r="G54" s="1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thickTop="1" thickBot="1">
      <c r="A55" s="1"/>
      <c r="B55" s="40">
        <v>4</v>
      </c>
      <c r="C55" s="41"/>
      <c r="D55" s="41"/>
      <c r="E55" s="41"/>
      <c r="F55" s="41"/>
      <c r="G55" s="1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thickTop="1" thickBot="1">
      <c r="A56" s="1"/>
      <c r="B56" s="40">
        <v>5</v>
      </c>
      <c r="C56" s="41"/>
      <c r="D56" s="41"/>
      <c r="E56" s="41"/>
      <c r="F56" s="41"/>
      <c r="G56" s="1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75" thickTop="1">
      <c r="A57" s="1"/>
      <c r="B57" s="4"/>
      <c r="C57" s="1"/>
      <c r="D57" s="1"/>
      <c r="E57" s="1"/>
      <c r="F57" s="1"/>
      <c r="G57" s="1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">
      <c r="A58" s="1"/>
      <c r="B58" s="4" t="s">
        <v>45</v>
      </c>
      <c r="C58" s="1"/>
      <c r="D58" s="1"/>
      <c r="E58" s="1"/>
      <c r="F58" s="1"/>
      <c r="G58" s="1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">
      <c r="A59" s="1"/>
      <c r="B59" s="4"/>
      <c r="C59" s="1"/>
      <c r="D59" s="1"/>
      <c r="E59" s="1"/>
      <c r="F59" s="1"/>
      <c r="G59" s="1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">
      <c r="A60" s="1"/>
      <c r="B60" s="25" t="s">
        <v>46</v>
      </c>
      <c r="C60" s="42"/>
      <c r="D60" s="25" t="s">
        <v>47</v>
      </c>
      <c r="E60" s="42"/>
      <c r="F60" s="1"/>
      <c r="G60" s="1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4">
      <c r="A61" s="1"/>
      <c r="B61" s="25" t="s">
        <v>48</v>
      </c>
      <c r="C61" s="42"/>
      <c r="D61" s="25" t="s">
        <v>47</v>
      </c>
      <c r="E61" s="42"/>
      <c r="F61" s="1"/>
      <c r="G61" s="1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">
      <c r="A62" s="1"/>
      <c r="B62" s="25" t="s">
        <v>49</v>
      </c>
      <c r="C62" s="42"/>
      <c r="D62" s="25" t="s">
        <v>47</v>
      </c>
      <c r="E62" s="42"/>
      <c r="F62" s="1"/>
      <c r="G62" s="1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">
      <c r="A63" s="1"/>
      <c r="B63" s="5"/>
      <c r="C63" s="43" t="s">
        <v>50</v>
      </c>
      <c r="D63" s="1"/>
      <c r="E63" s="1"/>
      <c r="F63" s="1"/>
      <c r="G63" s="1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">
      <c r="A64" s="1"/>
      <c r="B64" s="4"/>
      <c r="C64" s="1"/>
      <c r="D64" s="1"/>
      <c r="E64" s="1"/>
      <c r="F64" s="1"/>
      <c r="G64" s="1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">
      <c r="A65" s="1"/>
      <c r="B65" s="1"/>
      <c r="C65" s="1"/>
      <c r="D65" s="1"/>
      <c r="E65" s="1"/>
      <c r="F65" s="1"/>
      <c r="G65" s="1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">
      <c r="A66" s="1"/>
      <c r="B66" s="1"/>
      <c r="C66" s="1"/>
      <c r="D66" s="1"/>
      <c r="E66" s="1"/>
      <c r="F66" s="1"/>
      <c r="G66" s="1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43:B45"/>
    <mergeCell ref="C44:F44"/>
    <mergeCell ref="A49:B49"/>
    <mergeCell ref="C13:G13"/>
    <mergeCell ref="C14:G14"/>
    <mergeCell ref="C15:G15"/>
    <mergeCell ref="E28:E32"/>
    <mergeCell ref="B38:B40"/>
    <mergeCell ref="C39:F39"/>
    <mergeCell ref="A3:I3"/>
    <mergeCell ref="C8:G8"/>
    <mergeCell ref="C9:G9"/>
    <mergeCell ref="C10:G10"/>
    <mergeCell ref="C11:G11"/>
    <mergeCell ref="C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2026-01-29T17:59:02Z</dcterms:created>
  <dcterms:modified xsi:type="dcterms:W3CDTF">2026-01-29T17:59:22Z</dcterms:modified>
</cp:coreProperties>
</file>