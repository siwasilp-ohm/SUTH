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494A740-1F87-4214-A347-763BC3C87ACF}" xr6:coauthVersionLast="47" xr6:coauthVersionMax="47" xr10:uidLastSave="{00000000-0000-0000-0000-000000000000}"/>
  <bookViews>
    <workbookView xWindow="4275" yWindow="3450" windowWidth="14400" windowHeight="7335" xr2:uid="{E4FAD5C1-DCDA-4C5B-8063-A2511E800A9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" l="1"/>
  <c r="B18" i="1" s="1"/>
  <c r="C7" i="1"/>
  <c r="C6" i="1"/>
  <c r="C5" i="1"/>
  <c r="C4" i="1"/>
  <c r="D20" i="1" l="1"/>
  <c r="B20" i="1"/>
</calcChain>
</file>

<file path=xl/sharedStrings.xml><?xml version="1.0" encoding="utf-8"?>
<sst xmlns="http://schemas.openxmlformats.org/spreadsheetml/2006/main" count="45" uniqueCount="41">
  <si>
    <t>สรุปผลการประเมิน HICM V2025</t>
  </si>
  <si>
    <t>ตารางสรุปคะแนนแต่ละ Pillar</t>
  </si>
  <si>
    <t>Pillar</t>
  </si>
  <si>
    <t>จำนวนตัวชี้วัด</t>
  </si>
  <si>
    <t>คะแนนรวม
 (ไม่ปรับสัดส่วน)</t>
  </si>
  <si>
    <t>Pillar 1: Health Promotion</t>
  </si>
  <si>
    <t>/ 300</t>
  </si>
  <si>
    <t>Pillar 2: Safety &amp; Environment</t>
  </si>
  <si>
    <t>Pillar 3: Community Engagement</t>
  </si>
  <si>
    <t>/ 200</t>
  </si>
  <si>
    <t>Pillar 4: Management &amp; Sustainability</t>
  </si>
  <si>
    <t>รวมทั้งหมด</t>
  </si>
  <si>
    <t>/ 1,000</t>
  </si>
  <si>
    <t>ระดับการรับรอง (HICM Recognition Level)</t>
  </si>
  <si>
    <t>ระดับ</t>
  </si>
  <si>
    <t>คะแนน</t>
  </si>
  <si>
    <t>ชื่อระดับและความหมาย</t>
  </si>
  <si>
    <t>Level 5</t>
  </si>
  <si>
    <t>900-1000</t>
  </si>
  <si>
    <t>ระดับโลก (World-Class) - องค์กรมีมาตรฐานระดับสากล เป็นต้นแบบแห่งการเรียนรู้</t>
  </si>
  <si>
    <t>Level 4</t>
  </si>
  <si>
    <t>800-899</t>
  </si>
  <si>
    <t>เป็นเลิศ (Excellence) - องค์กรมีมาตรฐานสูง เป็นแบบอย่างที่ดี</t>
  </si>
  <si>
    <t>Level 3</t>
  </si>
  <si>
    <t>700-799</t>
  </si>
  <si>
    <t>พัฒนาดี (Performing) - องค์กรมีระบบที่ดี มีการดำเนินงานอย่างมีประสิทธิภาพ</t>
  </si>
  <si>
    <t>Level 2</t>
  </si>
  <si>
    <t>600-699</t>
  </si>
  <si>
    <t>กำลังพัฒนา (Developing) - องค์กรมีระบบพื้นฐานครบ กำลังพัฒนาให้ครอบคลุม</t>
  </si>
  <si>
    <t>Level 1</t>
  </si>
  <si>
    <t>&lt; 600</t>
  </si>
  <si>
    <t>เริ่มต้น (Emerging) - องค์กรเริ่มให้ความสำคัญกับสุขภาวะ มีพื้นฐานบางส่วน</t>
  </si>
  <si>
    <t>ผลการประเมินขององค์กร : 
(เต็ม 1,000 คะแนน)</t>
  </si>
  <si>
    <t xml:space="preserve">คะแนน </t>
  </si>
  <si>
    <t xml:space="preserve">ระดับที่ได้รับ : </t>
  </si>
  <si>
    <t>:</t>
  </si>
  <si>
    <t>ลายเซ็นผู้ประเมิน</t>
  </si>
  <si>
    <t>ลายเซ็นผู้ประเมิน: _______________________</t>
  </si>
  <si>
    <t>ลายเซ็นผู้รับการประเมิน: _______________________</t>
  </si>
  <si>
    <t>ชื่อ: _____________________________________</t>
  </si>
  <si>
    <t>วันที่: _____ / _____ / 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</si>
</sst>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222"/>
      <scheme val="minor"/>
    </font>
    <font>
      <b/>
      <sz val="16"/>
      <color rgb="FF365F91"/>
      <name val="TH SarabunPSK"/>
    </font>
    <font>
      <sz val="16"/>
      <color theme="1"/>
      <name val="TH SarabunPSK"/>
    </font>
    <font>
      <b/>
      <sz val="16"/>
      <color rgb="FF4F81BD"/>
      <name val="TH SarabunPSK"/>
    </font>
    <font>
      <b/>
      <sz val="16"/>
      <color rgb="FFFFFFFF"/>
      <name val="TH SarabunPSK"/>
    </font>
    <font>
      <sz val="10"/>
      <name val="Arial"/>
    </font>
    <font>
      <b/>
      <sz val="16"/>
      <color rgb="FF980000"/>
      <name val="TH SarabunPSK"/>
    </font>
    <font>
      <sz val="16"/>
      <color rgb="FF980000"/>
      <name val="TH SarabunPSK"/>
    </font>
    <font>
      <b/>
      <sz val="17"/>
      <color rgb="FF980000"/>
      <name val="TH SarabunPSK"/>
    </font>
    <font>
      <sz val="17"/>
      <color rgb="FF980000"/>
      <name val="TH SarabunPSK"/>
    </font>
    <font>
      <sz val="17"/>
      <color theme="1"/>
      <name val="TH SarabunPSK"/>
    </font>
    <font>
      <b/>
      <sz val="16"/>
      <color rgb="FF000000"/>
      <name val="TH SarabunPSK"/>
    </font>
    <font>
      <sz val="16"/>
      <color rgb="FF000000"/>
      <name val="TH SarabunPSK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FEFEF"/>
        <bgColor rgb="FFEFEFEF"/>
      </patternFill>
    </fill>
    <fill>
      <patternFill patternType="solid">
        <fgColor rgb="FFE7E6E6"/>
        <bgColor rgb="FFE7E6E6"/>
      </patternFill>
    </fill>
    <fill>
      <patternFill patternType="solid">
        <fgColor rgb="FFFCE5CD"/>
        <bgColor rgb="FFFCE5C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A61C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A61C00"/>
      </bottom>
      <diagonal/>
    </border>
    <border>
      <left/>
      <right/>
      <top/>
      <bottom style="medium">
        <color rgb="FF98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3" xfId="0" applyFont="1" applyBorder="1"/>
    <xf numFmtId="0" fontId="4" fillId="0" borderId="0" xfId="0" applyFont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0" fontId="3" fillId="3" borderId="5" xfId="0" applyFont="1" applyFill="1" applyBorder="1" applyAlignment="1">
      <alignment horizontal="center" vertical="top"/>
    </xf>
    <xf numFmtId="0" fontId="3" fillId="0" borderId="3" xfId="0" applyFont="1" applyBorder="1" applyAlignment="1">
      <alignment horizontal="left" vertical="top"/>
    </xf>
    <xf numFmtId="9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6" xfId="0" applyFont="1" applyBorder="1" applyAlignment="1">
      <alignment horizontal="left" vertical="top"/>
    </xf>
    <xf numFmtId="1" fontId="3" fillId="3" borderId="5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/>
    </xf>
    <xf numFmtId="0" fontId="3" fillId="4" borderId="4" xfId="0" applyFont="1" applyFill="1" applyBorder="1" applyAlignment="1">
      <alignment horizontal="center" vertical="top"/>
    </xf>
    <xf numFmtId="3" fontId="3" fillId="4" borderId="7" xfId="0" applyNumberFormat="1" applyFont="1" applyFill="1" applyBorder="1" applyAlignment="1">
      <alignment horizontal="center" vertical="top"/>
    </xf>
    <xf numFmtId="0" fontId="3" fillId="4" borderId="8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center" vertical="top"/>
    </xf>
    <xf numFmtId="0" fontId="5" fillId="0" borderId="9" xfId="0" applyFont="1" applyBorder="1"/>
    <xf numFmtId="0" fontId="5" fillId="0" borderId="8" xfId="0" applyFont="1" applyBorder="1"/>
    <xf numFmtId="0" fontId="3" fillId="0" borderId="1" xfId="0" applyFont="1" applyBorder="1" applyAlignment="1">
      <alignment horizontal="center" vertical="top"/>
    </xf>
    <xf numFmtId="0" fontId="3" fillId="0" borderId="4" xfId="0" applyFont="1" applyBorder="1" applyAlignment="1">
      <alignment vertical="top" wrapText="1"/>
    </xf>
    <xf numFmtId="0" fontId="6" fillId="5" borderId="0" xfId="0" applyFont="1" applyFill="1" applyAlignment="1">
      <alignment horizontal="right" vertical="center"/>
    </xf>
    <xf numFmtId="3" fontId="6" fillId="3" borderId="10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5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5" fillId="0" borderId="10" xfId="0" applyFont="1" applyBorder="1"/>
    <xf numFmtId="0" fontId="5" fillId="0" borderId="11" xfId="0" applyFont="1" applyBorder="1"/>
    <xf numFmtId="0" fontId="11" fillId="0" borderId="0" xfId="0" applyFont="1"/>
    <xf numFmtId="0" fontId="11" fillId="0" borderId="0" xfId="0" applyFont="1" applyAlignment="1">
      <alignment horizontal="center" vertical="top"/>
    </xf>
    <xf numFmtId="0" fontId="12" fillId="0" borderId="0" xfId="0" applyFont="1"/>
    <xf numFmtId="0" fontId="1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ปก"/>
      <sheetName val="ส่วนที่ 1"/>
      <sheetName val="ส่วนที่ 2"/>
      <sheetName val="ส่วนที่ 3 (H)"/>
      <sheetName val="ทดสอบ"/>
      <sheetName val="ส่วนที่ 3 (I)"/>
      <sheetName val="ส่วนที่ 3 (C)"/>
      <sheetName val="ส่วนที่ 3 (M)"/>
      <sheetName val="สรุปผล"/>
      <sheetName val="ส่วนที่ 4"/>
    </sheetNames>
    <sheetDataSet>
      <sheetData sheetId="0"/>
      <sheetData sheetId="1"/>
      <sheetData sheetId="2"/>
      <sheetData sheetId="3">
        <row r="9">
          <cell r="C9">
            <v>250</v>
          </cell>
        </row>
      </sheetData>
      <sheetData sheetId="4"/>
      <sheetData sheetId="5">
        <row r="9">
          <cell r="C9">
            <v>50</v>
          </cell>
        </row>
      </sheetData>
      <sheetData sheetId="6">
        <row r="9">
          <cell r="C9">
            <v>200.00000000000003</v>
          </cell>
        </row>
      </sheetData>
      <sheetData sheetId="7">
        <row r="9">
          <cell r="C9">
            <v>200.00000000000003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AA46-7298-43F4-B485-F4F0BD0DEEF8}">
  <dimension ref="A1:Z1003"/>
  <sheetViews>
    <sheetView tabSelected="1" workbookViewId="0">
      <selection sqref="A1:XFD1048576"/>
    </sheetView>
  </sheetViews>
  <sheetFormatPr defaultColWidth="12.5703125" defaultRowHeight="15"/>
  <cols>
    <col min="1" max="1" width="33.42578125" customWidth="1"/>
    <col min="3" max="3" width="10.140625" customWidth="1"/>
    <col min="4" max="4" width="7.5703125" customWidth="1"/>
    <col min="6" max="6" width="21.42578125" customWidth="1"/>
  </cols>
  <sheetData>
    <row r="1" spans="1:26" ht="24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">
      <c r="A3" s="5" t="s">
        <v>2</v>
      </c>
      <c r="B3" s="5" t="s">
        <v>3</v>
      </c>
      <c r="C3" s="6" t="s">
        <v>4</v>
      </c>
      <c r="D3" s="7"/>
      <c r="E3" s="8"/>
      <c r="F3" s="8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4.75" thickBot="1">
      <c r="A4" s="9" t="s">
        <v>5</v>
      </c>
      <c r="B4" s="10">
        <v>15</v>
      </c>
      <c r="C4" s="11">
        <f>'[1]ส่วนที่ 3 (H)'!C9</f>
        <v>250</v>
      </c>
      <c r="D4" s="12" t="s">
        <v>6</v>
      </c>
      <c r="E4" s="13"/>
      <c r="F4" s="1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.75" thickBot="1">
      <c r="A5" s="9" t="s">
        <v>7</v>
      </c>
      <c r="B5" s="10">
        <v>15</v>
      </c>
      <c r="C5" s="11">
        <f>'[1]ส่วนที่ 3 (I)'!C9</f>
        <v>50</v>
      </c>
      <c r="D5" s="15" t="s">
        <v>6</v>
      </c>
      <c r="E5" s="13"/>
      <c r="F5" s="1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.75" thickBot="1">
      <c r="A6" s="9" t="s">
        <v>8</v>
      </c>
      <c r="B6" s="10">
        <v>15</v>
      </c>
      <c r="C6" s="16">
        <f>'[1]ส่วนที่ 3 (C)'!C9</f>
        <v>200.00000000000003</v>
      </c>
      <c r="D6" s="15" t="s">
        <v>9</v>
      </c>
      <c r="E6" s="13"/>
      <c r="F6" s="1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.75" thickBot="1">
      <c r="A7" s="9" t="s">
        <v>10</v>
      </c>
      <c r="B7" s="10">
        <v>15</v>
      </c>
      <c r="C7" s="16">
        <f>'[1]ส่วนที่ 3 (M)'!C9</f>
        <v>200.00000000000003</v>
      </c>
      <c r="D7" s="15" t="s">
        <v>9</v>
      </c>
      <c r="E7" s="13"/>
      <c r="F7" s="1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>
      <c r="A8" s="17" t="s">
        <v>11</v>
      </c>
      <c r="B8" s="18">
        <v>60</v>
      </c>
      <c r="C8" s="19">
        <f>SUM(C4:C7)</f>
        <v>700</v>
      </c>
      <c r="D8" s="20" t="s">
        <v>12</v>
      </c>
      <c r="E8" s="13"/>
      <c r="F8" s="1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">
      <c r="A9" s="4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>
      <c r="A10" s="4" t="s">
        <v>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4">
      <c r="A11" s="5" t="s">
        <v>14</v>
      </c>
      <c r="B11" s="5" t="s">
        <v>15</v>
      </c>
      <c r="C11" s="21" t="s">
        <v>16</v>
      </c>
      <c r="D11" s="22"/>
      <c r="E11" s="22"/>
      <c r="F11" s="2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4">
      <c r="A12" s="24" t="s">
        <v>17</v>
      </c>
      <c r="B12" s="24" t="s">
        <v>18</v>
      </c>
      <c r="C12" s="25" t="s">
        <v>19</v>
      </c>
      <c r="D12" s="22"/>
      <c r="E12" s="22"/>
      <c r="F12" s="2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">
      <c r="A13" s="24" t="s">
        <v>20</v>
      </c>
      <c r="B13" s="24" t="s">
        <v>21</v>
      </c>
      <c r="C13" s="25" t="s">
        <v>22</v>
      </c>
      <c r="D13" s="22"/>
      <c r="E13" s="22"/>
      <c r="F13" s="2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4">
      <c r="A14" s="24" t="s">
        <v>23</v>
      </c>
      <c r="B14" s="24" t="s">
        <v>24</v>
      </c>
      <c r="C14" s="25" t="s">
        <v>25</v>
      </c>
      <c r="D14" s="22"/>
      <c r="E14" s="22"/>
      <c r="F14" s="2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">
      <c r="A15" s="24" t="s">
        <v>26</v>
      </c>
      <c r="B15" s="24" t="s">
        <v>27</v>
      </c>
      <c r="C15" s="25" t="s">
        <v>28</v>
      </c>
      <c r="D15" s="22"/>
      <c r="E15" s="22"/>
      <c r="F15" s="2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4">
      <c r="A16" s="24" t="s">
        <v>29</v>
      </c>
      <c r="B16" s="24" t="s">
        <v>30</v>
      </c>
      <c r="C16" s="25" t="s">
        <v>31</v>
      </c>
      <c r="D16" s="22"/>
      <c r="E16" s="22"/>
      <c r="F16" s="2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4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42" customHeight="1" thickBot="1">
      <c r="A18" s="26" t="s">
        <v>32</v>
      </c>
      <c r="B18" s="27">
        <f>C8</f>
        <v>700</v>
      </c>
      <c r="C18" s="28" t="s">
        <v>33</v>
      </c>
      <c r="D18" s="2"/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4">
      <c r="A19" s="29"/>
      <c r="B19" s="30"/>
      <c r="C19" s="30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2.25" customHeight="1">
      <c r="A20" s="31" t="s">
        <v>34</v>
      </c>
      <c r="B20" s="32" t="str">
        <f>IF(B18&lt;=600,A16,IF(B18&lt;=699,A15,IF(B18&lt;=799,A14,IF(B18&lt;=899,A13,IF(B18&lt;=1000,A12,"NO")))))</f>
        <v>Level 3</v>
      </c>
      <c r="C20" s="33" t="s">
        <v>35</v>
      </c>
      <c r="D20" s="34" t="str">
        <f>IF(B18&lt;=600,C16,IF(B18&lt;=699,C15,IF(B18&lt;=799,C14,IF(B18&lt;=899,C13,IF(B18&lt;=1000,C12,"NO")))))</f>
        <v>พัฒนาดี (Performing) - องค์กรมีระบบที่ดี มีการดำเนินงานอย่างมีประสิทธิภาพ</v>
      </c>
      <c r="E20" s="2"/>
      <c r="F20" s="2"/>
      <c r="G20" s="35"/>
      <c r="H20" s="35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32.25" customHeight="1" thickBot="1">
      <c r="A21" s="2"/>
      <c r="B21" s="37"/>
      <c r="C21" s="2"/>
      <c r="D21" s="38"/>
      <c r="E21" s="38"/>
      <c r="F21" s="38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24">
      <c r="A22" s="3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3" customHeight="1">
      <c r="A23" s="3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4">
      <c r="A24" s="39" t="s">
        <v>36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4">
      <c r="A25" s="40" t="s">
        <v>37</v>
      </c>
      <c r="B25" s="2"/>
      <c r="C25" s="41"/>
      <c r="D25" s="41"/>
      <c r="E25" s="42" t="s">
        <v>38</v>
      </c>
      <c r="F25" s="41"/>
      <c r="G25" s="4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4">
      <c r="A26" s="40" t="s">
        <v>39</v>
      </c>
      <c r="B26" s="2"/>
      <c r="C26" s="41"/>
      <c r="D26" s="41"/>
      <c r="E26" s="42" t="s">
        <v>39</v>
      </c>
      <c r="F26" s="41"/>
      <c r="G26" s="4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4">
      <c r="A27" s="40" t="s">
        <v>40</v>
      </c>
      <c r="B27" s="2"/>
      <c r="C27" s="41"/>
      <c r="D27" s="41"/>
      <c r="E27" s="42" t="s">
        <v>40</v>
      </c>
      <c r="F27" s="41"/>
      <c r="G27" s="4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2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2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2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2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2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2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2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2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2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2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2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2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2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2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24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24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24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mergeCells count="16">
    <mergeCell ref="A25:B25"/>
    <mergeCell ref="A26:B26"/>
    <mergeCell ref="A27:B27"/>
    <mergeCell ref="C15:F15"/>
    <mergeCell ref="C16:F16"/>
    <mergeCell ref="C18:F18"/>
    <mergeCell ref="A20:A21"/>
    <mergeCell ref="B20:B21"/>
    <mergeCell ref="C20:C21"/>
    <mergeCell ref="D20:F21"/>
    <mergeCell ref="A1:F1"/>
    <mergeCell ref="C3:D3"/>
    <mergeCell ref="C11:F11"/>
    <mergeCell ref="C12:F12"/>
    <mergeCell ref="C13:F13"/>
    <mergeCell ref="C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2026-01-29T17:58:41Z</dcterms:created>
  <dcterms:modified xsi:type="dcterms:W3CDTF">2026-01-29T17:58:56Z</dcterms:modified>
</cp:coreProperties>
</file>