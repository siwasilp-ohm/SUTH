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ก" sheetId="1" r:id="rId5"/>
    <sheet state="visible" name="ส่วนที่ 1" sheetId="2" r:id="rId6"/>
    <sheet state="visible" name="ส่วนที่ 2" sheetId="3" r:id="rId7"/>
    <sheet state="visible" name="ส่วนที่ 3 (H)" sheetId="4" r:id="rId8"/>
    <sheet state="hidden" name="ทดสอบ" sheetId="5" r:id="rId9"/>
    <sheet state="visible" name="ส่วนที่ 3 (I)" sheetId="6" r:id="rId10"/>
    <sheet state="visible" name="ส่วนที่ 3 (C)" sheetId="7" r:id="rId11"/>
    <sheet state="visible" name="ส่วนที่ 3 (M)" sheetId="8" r:id="rId12"/>
    <sheet state="visible" name="สรุปผล" sheetId="9" r:id="rId13"/>
    <sheet state="visible" name="ส่วนที่ 4" sheetId="10" r:id="rId14"/>
  </sheets>
  <definedNames/>
  <calcPr/>
</workbook>
</file>

<file path=xl/sharedStrings.xml><?xml version="1.0" encoding="utf-8"?>
<sst xmlns="http://schemas.openxmlformats.org/spreadsheetml/2006/main" count="902" uniqueCount="548">
  <si>
    <t>ร่าง-แบบประเมินสถานประกอบการตามเกณฑ์ HICM V2025</t>
  </si>
  <si>
    <t>Health Industrial Community Model (HICM) Version 2025</t>
  </si>
  <si>
    <t>แบบประเมินบูรณาการสุขภาวะองค์กรอุตสาหกรรมและชุมชนเพื่อการพัฒนาอย่างยั่งยืน</t>
  </si>
  <si>
    <t>โครงการการพัฒนาโมเดลชุมชนอุตสาหกรรมสุขภาวะ</t>
  </si>
  <si>
    <t>เพื่อการเสริมสร้างสุขภาพคนวัยทำงานแบบบูรณาการและยั่งยืน</t>
  </si>
  <si>
    <t>Development of Health Industrial Community Model (HICM)</t>
  </si>
  <si>
    <t>for Integrated and Sustainable Working-Age Health Promotion Project</t>
  </si>
  <si>
    <t>จัดทำโดย:</t>
  </si>
  <si>
    <t>คณะผู้วิจัยโครงการการพัฒนาโมเดลชุมชนอุตสาหกรรมสุขภาวะ</t>
  </si>
  <si>
    <t>พ.ศ. 2568 (2025)</t>
  </si>
  <si>
    <t>ส่วนที่ 1: บทนำและหลักการ</t>
  </si>
  <si>
    <t>1.1 วัตถุประสงค์ของแบบประเมิน</t>
  </si>
  <si>
    <t>แบบประเมิน HICM V2025 จัดทำขึ้นเพื่อเป็นเครื่องมือในการประเมินและพัฒนาสถานประกอบการอุตสาหกรรมให้เป็นองค์กรสุขภาวะอย่างยั่งยืน โดยมุ่งเน้นการบูรณาการการส่งเสริมสุขภาพ ความปลอดภัยในการทำงาน การมีส่วนร่วมกับชุมชน และการบริหารจัดการที่มีประสิทธิภาพ เพื่อสร้างสภาพแวดล้อมการทำงานที่ดี และส่งเสริมคุณภาพชีวิตที่ดีของคนทำงานและชุมชนโดยรอบ</t>
  </si>
  <si>
    <t>วัตถุประสงค์เชิงกลยุทธ์:</t>
  </si>
  <si>
    <t>• เพื่อประเมินระดับการพัฒนาสุขภาวะองค์กรอย่างครบวงจร</t>
  </si>
  <si>
    <t>• เพื่อกำหนดแนวทางการพัฒนาที่ชัดเจนและวัดผลได้</t>
  </si>
  <si>
    <t>• เพื่อสร้างมาตรฐานองค์กรสุขภาวะในภาคอุตสาหกรรมไทย</t>
  </si>
  <si>
    <t>• เพื่อส่งเสริมความรับผิดชอบต่อสังคมและการพัฒนาที่ยั่งยืน (CSR &amp; ESG)</t>
  </si>
  <si>
    <t>1.2 หลักคิด HICM และกรอบแนวคิด</t>
  </si>
  <si>
    <t>Health Industrial Community Model (HICM) เป็นกรอบแนวคิดที่พัฒนาขึ้นจากการบูรณาการหลักการสร้างเสริมสุขภาพ (Health Promotion) ตามแนวทางขององค์การอนามัยโลก (WHO) หลักการอาชีวอนามัยและความปลอดภัย (Occupational Health and Safety) ตามมาตรฐาน ISO 45001:2018 แนวคิดการพัฒนาชุมชนแบบมีส่วนร่วม (Community-Based Participatory Development) และหลักการบริหารจัดการเพื่อความยั่งยืน (Sustainability Management) ตาม SDGs และ ESG Framework</t>
  </si>
  <si>
    <t>กรอบแนวคิด 4 Pillars ของ HICM:</t>
  </si>
  <si>
    <t>· Pillar 1: Health Promotion (H1) - การส่งเสริมสุขภาพ</t>
  </si>
  <si>
    <t xml:space="preserve">          มุ่งเน้นการสร้างเสริมสุขภาพแบบองค์รวม ครอบคลุมสุขภาพกาย จิต สังคม และปัญญา ตามหลักการ Ottawa Charter for Health Promotion (WHO, 1986) และแนวทาง Healthy Workplace Framework (WHO, 2010) รวมถึงการป้องกันและควบคุมโรคไม่ติดต่อเรื้อรัง (NCDs) ซึ่งเป็นปัญหาสุขภาพสำคัญของคนทำงานไทย</t>
  </si>
  <si>
    <t>· Pillar 2: Industrial Safety &amp; Environment (I2) - ความปลอดภัยและสิ่งแวดล้อม</t>
  </si>
  <si>
    <t xml:space="preserve">         มุ่งเน้นการจัดการความปลอดภัยอาชีวอนามัยและสิ่งแวดล้อมในการทำงานตามมาตรฐานสากล ISO 45001:2018 (Occupational Health and Safety Management Systems), ISO 14001:2015 (Environmental Management Systems) และพระราชบัญญัติความปลอดภัย อาชีวอนามัย และสภาพแวดล้อมในการทำงาน พ.ศ. 2554</t>
  </si>
  <si>
    <t>· Pillar 3: Community Engagement (C3) - การมีส่วนร่วมกับชุมชน</t>
  </si>
  <si>
    <t xml:space="preserve">        มุ่งเน้นการสร้างความสัมพันธ์เชิงบวกระหว่างสถานประกอบการกับชุมชนโดยรอบ ตามแนวคิด Shared Value Creation และ Social License to Operate เชื่อมโยงกับเป้าหมายการพัฒนาที่ยั่งยืน (SDGs) โดยเฉพาะเป้าหมายที่ 3 (สุขภาพและความเป็นอยู่ที่ดี), เป้าหมายที่ 11 (เมืองและชุมชนที่ยั่งยืน) และเป้าหมายที่ 17 (ความร่วมมือเพื่อการพัฒนา)</t>
  </si>
  <si>
    <t>· Pillar 4: Management &amp; Sustainability (M4) - การบริหารจัดการและความยั่งยืน</t>
  </si>
  <si>
    <t xml:space="preserve">         มุ่งเน้นการบริหารจัดการองค์กรแบบบูรณาการที่เชื่อมโยงกับกลยุทธ์ระยะยาว ตามหลักการ ESG (Environmental, Social, and Governance) และ GRI Standards (Global Reporting Initiative) เพื่อความโปร่งใส ตรวจสอบได้ และยั่งยืน</t>
  </si>
  <si>
    <t>1.3 แนวทางการใช้แบบประเมิน</t>
  </si>
  <si>
    <t>แบบประเมิน HICM V2025 ออกแบบให้สถานประกอบการสามารถประเมินตนเอง (Self-Assessment) โดยใช้หลักฐานเชิงประจักษ์ (Evidence-Based Assessment) ประกอบการพิจารณา และสามารถนำผลการประเมินไปพัฒนาปรับปรุงอย่างต่อเนื่อง</t>
  </si>
  <si>
    <t>ขั้นตอนการประเมิน:</t>
  </si>
  <si>
    <t>1. จัดตั้งคณะทำงาน: แต่งตั้งคณะทำงานประเมิน HICM ประกอบด้วยผู้แทนจากทุกหน่วยงานที่เกี่ยวข้อง</t>
  </si>
  <si>
    <t>2. รวบรวมหลักฐาน: จัดเตรียมเอกสาร ข้อมูล และหลักฐานประกอบการประเมินตามที่กำหนดในแต่ละตัวชี้วัด</t>
  </si>
  <si>
    <t>3. ประเมินตนเอง: ประเมินตามตัวชี้วัดทั้ง 60 ข้อ โดยให้คะแนนตามระดับ 0-1.0 พร้อมระบุหลักฐาน</t>
  </si>
  <si>
    <t>4. ตรวจสอบและยืนยัน: ตรวจสอบความถูกต้องของการประเมินและหลักฐานประกอบ</t>
  </si>
  <si>
    <t>5. สรุปผลและวางแผน: สรุปผลคะแนนรวม วิเคราะห์จุดแข็ง-จุดอ่อน และวางแผนพัฒนาปรับปรุง</t>
  </si>
  <si>
    <t>6. รายงานและเผยแพร่: จัดทำรายงานผลการประเมินและแผนพัฒนา เพื่อเผยแพร่และสื่อสาร</t>
  </si>
  <si>
    <t>1.4 หลักวิชาการและเอกสารอ้างอิง</t>
  </si>
  <si>
    <t>แบบประเมิน HICM V2025 พัฒนาขึ้นบนพื้นฐานหลักวิชาการและเอกสารอ้างอิงที่สำคัญ ดังนี้:</t>
  </si>
  <si>
    <t>มาตรฐานและแนวปฏิบัติสากล</t>
  </si>
  <si>
    <t>• WHO Healthy Workplace Framework and Model (2010)</t>
  </si>
  <si>
    <t>• ISO 45001:2018 - Occupational Health and Safety Management Systems</t>
  </si>
  <si>
    <t>• ISO 14001:2015 - Environmental Management Systems</t>
  </si>
  <si>
    <t>• ILO Convention on Occupational Safety and Health (C155)</t>
  </si>
  <si>
    <t>• GRI Standards - Global Reporting Initiative</t>
  </si>
  <si>
    <t>• UN Sustainable Development Goals (SDGs) - เป้าหมายที่ 3, 8, 11, 17</t>
  </si>
  <si>
    <t>กฎหมายและข้อกำหนดของไทย</t>
  </si>
  <si>
    <t>• พระราชบัญญัติความปลอดภัย อาชีวอนามัย และสภาพแวดล้อมในการทำงาน พ.ศ. 2554</t>
  </si>
  <si>
    <t>• พระราชบัญญัติส่งเสริมและพัฒนาคุณภาพชีวิตคนพิการ พ.ศ. 2550</t>
  </si>
  <si>
    <t>• กฎกระทรวงกำหนดมาตรฐานในการบริหารและการจัดการด้านความปลอดภัย อาชีวอนามัย และสภาพแวดล้อมในการทำงาน</t>
  </si>
  <si>
    <t>• ประกาศกระทรวงสาธารณสุข เรื่อง หลักเกณฑ์และวิธีการตรวจสุขภาพคนงาน</t>
  </si>
  <si>
    <t>• ประกาศกระทรวงแรงงาน เรื่อง การจัดทำแผนงานความปลอดภัย อาชีวอนามัย และสภาพแวดล้อมในการทำงาน</t>
  </si>
  <si>
    <t>หลักวิชาการด้านสาธารณสุขและอาชีวเวชศาสตร์</t>
  </si>
  <si>
    <t>• Ottawa Charter for Health Promotion (WHO, 1986)</t>
  </si>
  <si>
    <t>• Bangkok Charter for Health Promotion (WHO, 2005)</t>
  </si>
  <si>
    <t>• Workplace Health Promotion - Evidence-based Practice (Burton, 2010)</t>
  </si>
  <si>
    <t>• Occupational Health: The Cornerstone of Development (ILO)</t>
  </si>
  <si>
    <t>• Psychosocial Risk Assessment in the Workplace (EU-OSHA)</t>
  </si>
  <si>
    <t>• Health Risk Appraisal and Health Promotion Strategies</t>
  </si>
  <si>
    <t>งานวิจัยและหลักฐานเชิงประจักษ์</t>
  </si>
  <si>
    <t>• ผลตอบแทนจากการลงทุนในโครงการสุขภาพองค์กร (ROI of Workplace Health Programs)</t>
  </si>
  <si>
    <t>• การศึกษาความสัมพันธ์ระหว่างสุขภาพกับผลิตภาพ (Health and Productivity Management)</t>
  </si>
  <si>
    <t>• ผลกระทบของโรค NCDs ต่อเศรษฐกิจและผลิตภาพแรงงาน</t>
  </si>
  <si>
    <t>• Best Practices ขององค์กรสุขภาวะระดับสากล (WHO Healthy Workplace Recognition)</t>
  </si>
  <si>
    <t>• งานวิจัยด้าน Corporate Social Responsibility และผลกระทบต่อชุมชน</t>
  </si>
  <si>
    <t>ส่วนที่ 2: โครงสร้างและระบบคะแนน</t>
  </si>
  <si>
    <t>2.1 โครงสร้าง 4 Pillars</t>
  </si>
  <si>
    <t>Pillar</t>
  </si>
  <si>
    <t>ชื่อหมวด</t>
  </si>
  <si>
    <t>จำนวนตัวชี้วัด</t>
  </si>
  <si>
    <t>น้ำหนักคะแนน</t>
  </si>
  <si>
    <t>Pillar 1 (H1)</t>
  </si>
  <si>
    <t>Health Promotion
 (การส่งเสริมสุขภาพ)</t>
  </si>
  <si>
    <t>Pillar 2 (I2)</t>
  </si>
  <si>
    <t>Industrial Safety &amp; Environment
 (ความปลอดภัยและสิ่งแวดล้อม)</t>
  </si>
  <si>
    <t>Pillar 3 (C3)</t>
  </si>
  <si>
    <t>Community Engagement
 (การมีส่วนร่วมกับชุมชน)</t>
  </si>
  <si>
    <t>Pillar 4 (M4)</t>
  </si>
  <si>
    <t>Management &amp; Sustainability
 (การบริหารจัดการและความยั่งยืน)</t>
  </si>
  <si>
    <t>คะแนนรวมทั้งหมด: 1,000 คะแนน</t>
  </si>
  <si>
    <t>2.2 ระบบคะแนนและเกณฑ์การประเมิน</t>
  </si>
  <si>
    <t>แบบประเมิน HICM V2025 ใช้ระบบคะแนนแบบก้าวหน้า (Progressive Scoring) ในระดับ 0-1.0 เพื่อแสดงถึงระดับการพัฒนาที่ชัดเจนและวัดผลได้ โดยแต่ละตัวชี้วัดมีคะแนนเต็ม 20 คะแนน (60 ตัวชี้วัด x 20 = 1,200 คะแนน จากนั้นปรับสัดส่วนตามน้ำหนักของแต่ละ Pillar)</t>
  </si>
  <si>
    <t>ระดับคะแนน</t>
  </si>
  <si>
    <t>คำนิยาม</t>
  </si>
  <si>
    <t>ลักษณะการดำเนินงาน</t>
  </si>
  <si>
    <t>ไม่มีการดำเนินงาน</t>
  </si>
  <si>
    <t>ไม่มีนโยบาย ไม่มีการดำเนินการใดๆ หรือไม่มีหลักฐาน</t>
  </si>
  <si>
    <t>เริ่มดำเนินการเบื้องต้น</t>
  </si>
  <si>
    <t>มีการเริ่มต้นดำเนินการ มีนโยบายหรือแผนเบื้องต้น แต่ยังไม่มีหลักฐานชัดเจน</t>
  </si>
  <si>
    <t>มีการดำเนินงานบางส่วนพร้อมหลักฐาน</t>
  </si>
  <si>
    <t>มีการดำเนินงานอย่างจริงจัง มีหลักฐานประกอบ แต่ยังไม่ครอบคลุมหรือไม่สม่ำเสมอ</t>
  </si>
  <si>
    <t>ดำเนินงานครอบคลุมและมีการติดตาม</t>
  </si>
  <si>
    <t>มีการดำเนินงานอย่างครอบคลุม มีระบบติดตามประเมินผล มีการปรับปรุงตามผลการติดตาม</t>
  </si>
  <si>
    <t>ดำเนินงานครบถ้วนและยั่งยืน</t>
  </si>
  <si>
    <t>มีการดำเนินงานครบถ้วนตามเกณฑ์ มีระบบประเมินผลและพัฒนาอย่างต่อเนื่อง มีผลลัพธ์ที่ดีและยั่งยืน</t>
  </si>
  <si>
    <t>2.3 ระดับการพัฒนาและการรับรอง (HICM Recognition Levels)</t>
  </si>
  <si>
    <t>สถานประกอบการที่ผ่านการประเมิน HICM จะได้รับการจัดระดับตามคะแนนรวม เพื่อสะท้อนถึงระดับการพัฒนาและเป็นแรงจูงใจในการพัฒนาอย่างต่อเนื่อง</t>
  </si>
  <si>
    <t>ระดับ</t>
  </si>
  <si>
    <t>คะแนน</t>
  </si>
  <si>
    <t>ชื่อระดับ</t>
  </si>
  <si>
    <t>ความหมาย</t>
  </si>
  <si>
    <t>Level 1</t>
  </si>
  <si>
    <t>&lt; 600</t>
  </si>
  <si>
    <t>เริ่มต้น (Emerging)</t>
  </si>
  <si>
    <t>องค์กรเริ่มให้ความสำคัญกับสุขภาวะ มีพื้นฐานบางส่วน</t>
  </si>
  <si>
    <t>Level 2</t>
  </si>
  <si>
    <t>600-699</t>
  </si>
  <si>
    <t>กำลังพัฒนา (Developing)</t>
  </si>
  <si>
    <t>องค์กรมีระบบพื้นฐานครบ กำลังพัฒนาให้ครอบคลุม</t>
  </si>
  <si>
    <t>Level 3</t>
  </si>
  <si>
    <t>700-799</t>
  </si>
  <si>
    <t>พัฒนาดี (Performing)</t>
  </si>
  <si>
    <t>องค์กรมีระบบที่ดี มีการดำเนินงานอย่างมีประสิทธิภาพ</t>
  </si>
  <si>
    <t>Level 4</t>
  </si>
  <si>
    <t>800-899</t>
  </si>
  <si>
    <t>เป็นเลิศ (Excellence)</t>
  </si>
  <si>
    <t>องค์กรมีมาตรฐานสูง เป็นแบบอย่างที่ดี</t>
  </si>
  <si>
    <t>Level 5</t>
  </si>
  <si>
    <t>900-1000</t>
  </si>
  <si>
    <t>ระดับโลก (World-Class)</t>
  </si>
  <si>
    <t>องค์กรมีมาตรฐานระดับสากล เป็นต้นแบบแห่งการเรียนรู้</t>
  </si>
  <si>
    <t>หมายเหตุ: สถานประกอบการที่ได้คะแนนตั้งแต่ Level 3 ขึ้นไป สามารถขอรับการรับรอง HICM Recognition จากหน่วยงานที่เกี่ยวข้อง เพื่อใช้ในการประชาสัมพันธ์และสร้างภาพลักษณ์องค์กร</t>
  </si>
  <si>
    <t>Pillar 1: Health Promotion (H1) - การส่งเสริมสุขภาพ</t>
  </si>
  <si>
    <r>
      <rPr>
        <rFont val="TH SarabunPSK"/>
        <b/>
        <color rgb="FF000000"/>
        <sz val="18.0"/>
      </rPr>
      <t xml:space="preserve">การประเมินผลการดำเนินการ 
</t>
    </r>
    <r>
      <rPr>
        <rFont val="TH SarabunPSK"/>
        <b val="0"/>
        <color rgb="FF000000"/>
        <sz val="18.0"/>
      </rPr>
      <t>(ประกอบด้วย จำนวน 15 ตัวชี้วัด / น้ำหนักคะแนน 300 คะแนน)</t>
    </r>
  </si>
  <si>
    <r>
      <rPr>
        <rFont val="TH SarabunPSK"/>
        <b/>
        <color rgb="FF000000"/>
        <sz val="18.0"/>
      </rPr>
      <t xml:space="preserve">กรอบแนวคิด : </t>
    </r>
    <r>
      <rPr>
        <rFont val="TH SarabunPSK"/>
        <color rgb="FF000000"/>
        <sz val="18.0"/>
      </rPr>
      <t>มุ่งเน้นการสร้างเสริมสุขภาพแบบองค์รวม ครอบคลุมสุขภาพกาย จิต สังคม และปัญญา ตามหลักการ Ottawa Charter for Health Promotion (WHO, 1986) และแนวทาง Healthy Workplace Framework (WHO, 2010) รวมถึงการป้องกันและควบคุมโรคไม่ติดต่อเรื้อรัง (NCDs) ซึ่งเป็นปัญหาสุขภาพสำคัญของคนทำงานไทย</t>
    </r>
  </si>
  <si>
    <t>สรุปผลคะแนน</t>
  </si>
  <si>
    <t xml:space="preserve">Health Promotion (H1) - การส่งเสริมสุขภาพ (คะแนนเต็ม = 300 คะแนน) </t>
  </si>
  <si>
    <t xml:space="preserve">คะแนนที่ได้ : </t>
  </si>
  <si>
    <t>ร้อยละ (%) :</t>
  </si>
  <si>
    <t>ตัวชี้วัด</t>
  </si>
  <si>
    <t>เกณฑ์</t>
  </si>
  <si>
    <t>คำอธิบายตัวชี้วัด</t>
  </si>
  <si>
    <t>เกณฑ์การประเมิน</t>
  </si>
  <si>
    <t>การประเมินโดยตนเอง</t>
  </si>
  <si>
    <t>การประเมินโดยกรรมการ</t>
  </si>
  <si>
    <t>ผลการดำเนินงาน</t>
  </si>
  <si>
    <t>หลักฐานประกอบ</t>
  </si>
  <si>
    <t>ระดับการประเมินตนเอง</t>
  </si>
  <si>
    <t>คะแนนที่ได้</t>
  </si>
  <si>
    <t>ระดับการประเมินจากกรรมการ</t>
  </si>
  <si>
    <t>ข้อเสนอแนะในการพัฒนา</t>
  </si>
  <si>
    <t>H1.1: นโยบายสุขภาวะองค์กร (Organizational Health Policy)</t>
  </si>
  <si>
    <t>สถานประกอบการมีนโยบายสุขภาวะที่ชัดเจน เป็นลายลักษณ์อักษร ประกาศให้พนักงานทราบทั่วกัน และบูรณาการเข้ากับยุทธศาสตร์องค์กร มีการทบทวนปรับปรุงเป็นประจำทุกปี</t>
  </si>
  <si>
    <t xml:space="preserve">• ระดับ 0: ไม่มีนโยบายสุขภาวะเป็นลายลักษณ์อักษร
• ระดับ 0.25: มีนโยบายสุขภาวะเป็นลายลักษณ์อักษร แต่ยังไม่ประกาศอย่างเป็นทางการ
• ระดับ 0.50: มีนโยบายสุขภาวะที่ประกาศอย่างเป็นทางการ และแจ้งให้พนักงานทราบ
• ระดับ 0.75: มีนโยบายสุขภาวะที่บูรณาการกับยุทธศาสตร์องค์กร มีการทบทวนเป็นประจำ
• ระดับ 1.0: มีนโยบายสุขภาวะที่ครอบคลุม บูรณาการกับยุทธศาสตร์ มีการทบทวนและปรับปรุงต่อเนื่อง มีการวัดผลสัมฤทธิ์
</t>
  </si>
  <si>
    <t>H1.2: แผนปฏิบัติการสุขภาวะประจำปี (Annual Health Action Plan)</t>
  </si>
  <si>
    <t>สถานประกอบการมีแผนปฏิบัติการส่งเสริมสุขภาพประจำปีที่ชัดเจน มีกิจกรรมครอบคลุม มีงบประมาณและผู้รับผิดชอบที่ชัดเจน และมีการติดตามประเมินผล</t>
  </si>
  <si>
    <t xml:space="preserve">• ระดับ 0: ไม่มีแผนปฏิบัติการด้านสุขภาวะ
• ระดับ 0.25: มีแผนปฏิบัติการเบื้องต้น แต่ยังไม่มีรายละเอียดครบถ้วน
• ระดับ 0.50: มีแผนปฏิบัติการที่ชัดเจน มีงบประมาณและผู้รับผิดชอบ
• ระดับ 0.75: มีแผนปฏิบัติการครอบคลุมทุกมิติของสุขภาวะ มีการติดตามผลเป็นระยะ
• ระดับ 1.0: มีแผนปฏิบัติการที่บูรณาการและครบวงจร มีการประเมินผลและปรับปรุงอย่างต่อเนื่อง
</t>
  </si>
  <si>
    <t>H1.3: ระบบข้อมูลสุขภาพพนักงาน (Employee Health Information System)</t>
  </si>
  <si>
    <t>สถานประกอบการมีระบบฐานข้อมูลสุขภาพพนักงานที่ครบถ้วน ปลอดภัย สามารถวิเคราะห์และนำไปใช้ในการวางแผนสุขภาพ โดยเคารพความเป็นส่วนตัวและปฏิบัติตาม พ.ร.บ. คุ้มครองข้อมูลส่วนบุคคล</t>
  </si>
  <si>
    <t>• ระดับ 0: ไม่มีระบบข้อมูลสุขภาพ หรือมีแต่ไม่เป็นระบบ
• ระดับ 0.25: มีการเก็บข้อมูลสุขภาพพื้นฐาน แต่ยังไม่เป็นระบบ
• ระดับ 0.50: มีระบบฐานข้อมูลสุขภาพที่เป็นระบบ มีการรักษาความลับ
• ระดับ 0.75: มีระบบข้อมูลที่สามารถวิเคราะห์และออกรายงานได้ มีการอัพเดทสม่ำเสมอ
• ระดับ 1.0: มีระบบข้อมูลที่ทันสมัย สามารถบูรณาการกับระบบอื่น ใช้ในการตัดสินใจเชิงนโยบาย</t>
  </si>
  <si>
    <t>H1.4: การตรวจสุขภาพและติดตามผล (Health Examination and Follow-up)</t>
  </si>
  <si>
    <t>สถานประกอบการจัดให้มีการตรวจสุขภาพประจำปีครบทุกกลุ่มเสี่ยง มีการคัดกรอง NCDs และอาชีวอนามัย มีระบบติดตามผลผู้ป่วยและผู้มีปัจจัยเสี่ยงอย่างต่อเนื่อง</t>
  </si>
  <si>
    <t>• ระดับ 0: ไม่มีการตรวจสุขภาพพนักงาน
• ระดับ 0.25: มีการตรวจสุขภาพพนักงานบางส่วน แต่ยังไม่ครอบคลุม
• ระดับ 0.50: มีการตรวจสุขภาพครบทุกกลุ่มตามกฎหมาย มีรายงานผล
• ระดับ 0.75: มีการตรวจสุขภาพครอบคลุมกลุ่มเสี่ยง มีการติดตามผลผู้ป่วยและผู้เสี่ยง
• ระดับ 1.0: มีการตรวจสุขภาพครบถ้วน มีระบบติดตามผลต่อเนื่อง มีการวิเคราะห์และป้องกันเชิงรุก</t>
  </si>
  <si>
    <t>H1.5: บริการให้คำปรึกษาและ EAP (Employee Assistance Program)</t>
  </si>
  <si>
    <t>สถานประกอบการจัดให้มีบริการให้คำปรึกษาด้านสุขภาพจิต ปัญหาส่วนตัว และครอบครัว โดยมีช่องทางที่เข้าถึงง่าย เก็บความลับ และมีผู้เชี่ยวชาญให้คำปรึกษา</t>
  </si>
  <si>
    <t xml:space="preserve">• ระดับ 0: ไม่มีบริการให้คำปรึกษา
• ระดับ 0.25: มีช่องทางให้คำปรึกษาเบื้องต้น แต่ยังไม่เป็นระบบ
• ระดับ 0.50: มีระบบให้คำปรึกษา มีช่องทางที่ชัดเจน
• ระดับ 0.75: มี EAP ที่ครบครัน มีผู้เชี่ยวชาญ มีการประชาสัมพันธ์
• ระดับ 1.0: มี EAP ครบวงจร มีการประเมินผลและพัฒนาอย่างต่อเนื่อง มีผลลัพธ์ที่ดี
</t>
  </si>
  <si>
    <t>H1.6: โครงการป้องกัน NCDs (Non-Communicable Diseases Prevention)</t>
  </si>
  <si>
    <t>สถานประกอบการมีโครงการป้องกันและควบคุมโรคไม่ติดต่อเรื้อรัง (NCDs) อย่างครอบคลุม เช่น เบาหวาน ความดันโลหิตสูง โรคหัวใจ มะเร็ง โดยมุ่งเน้นการลดพฤติกรรมเสี่ยง 4 ประการ (บุหรี่ เครื่องดื่มแอลกอฮอล์ อาหาร และการขาดการออกกำลังกาย)</t>
  </si>
  <si>
    <t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</t>
  </si>
  <si>
    <t>H1.7: การประเมินสุขภาพจิตและปัจจัยเสี่ยงทางจิตสังคม (Mental Health and Psychosocial Risk Assessment)</t>
  </si>
  <si>
    <t>สถานประกอบการมีการประเมินสุขภาพจิตและปัจจัยเสี่ยงทางจิตสังคมในการทำงาน เช่น ความเครียด ภาระงาน การคุกคาม การกลั่นแกล้ง อย่างสม่ำเสมอ และนำผลไปดำเนินการปรับปรุง</t>
  </si>
  <si>
    <t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</t>
  </si>
  <si>
    <t>H1.8: โครงการเลิกบุหรี่และแอลกอฮอล์ (Tobacco and Alcohol Cessation Program)</t>
  </si>
  <si>
    <t>สถานประกอบการมีนโยบายปลอดบุหรี่และควบคุมการดื่มแอลกอฮอล์ มีโครงการช่วยเหลือพนักงานเลิกบุหรี่และเครื่องดื่มแอลกอฮอล์ รวมถึงมาตรการป้องกันและลงโทษผู้ละเมิด</t>
  </si>
  <si>
    <t xml:space="preserve"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
</t>
  </si>
  <si>
    <t>H1.9: กิจกรรมส่งเสริมสุขภาพ 4 มิติ (Holistic Health Promotion Activities)</t>
  </si>
  <si>
    <t>สถานประกอบการจัดกิจกรรมส่งเสริมสุขภาพครอบคลุม 4 มิติ คือ กาย (ออกกำลังกาย โภชนาการ) จิต (จิตเวช สุขภาพจิต) สังคม (ความสัมพันธ์ Work-Life Balance) และจิตวิญญาณ (คุณธรรม จิตอาสา ศาสนา)</t>
  </si>
  <si>
    <t xml:space="preserve"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
</t>
  </si>
  <si>
    <t>H1.10: แกนนำสุขภาพองค์กร (Health Champions Network)</t>
  </si>
  <si>
    <t>สถานประกอบการแต่งตั้งและอบรมแกนนำสุขภาพ (Health Champions) อย่างน้อย 10 คนขึ้นไป หรือ 5% ของพนักงาน เพื่อเป็นผู้ขับเคลื่อนกิจกรรมสุขภาพและเป็นต้นแบบให้เพื่อนร่วมงาน</t>
  </si>
  <si>
    <t>H1.11: โภชนาการในที่ทำงาน (Nutrition at Workplace)</t>
  </si>
  <si>
    <t>สถานประกอบการจัดให้มีอาหารที่มีคุณค่าทางโภชนาการในโรงอาหารหรือร้านอาหาร มีการแสดงฉลากโภชนาการ และส่งเสริมพนักงานเลือกรับประทานอาหารสุขภาพ</t>
  </si>
  <si>
    <t>H1.12: การออกกำลังกายในองค์กร (Physical Activity Program)</t>
  </si>
  <si>
    <t>สถานประกอบการส่งเสริมให้พนักงานออกกำลังกายอย่างสม่ำเสมอ มีสถานที่และอุปกรณ์ออกกำลังกาย มีกิจกรรมกีฬาและนันทนาการ และมีระบบติดตามผล</t>
  </si>
  <si>
    <t>H1.13: สิทธิประโยชน์ด้านสุขภาพ (Health Benefits and Welfare)</t>
  </si>
  <si>
    <t>สถานประกอบการจัดสวัสดิการและสิทธิประโยชน์ด้านสุขภาพให้พนักงานอย่างครอบคลุม เช่น ประกันสุขภาพ ประกันอุบัติเหตุ ค่ารักษาพยาบาล และสวัสดิการอื่นๆ ที่เกี่ยวข้อง</t>
  </si>
  <si>
    <t>H1.14: การสื่อสารสุขภาพภายในองค์กร (Internal Health Communication)</t>
  </si>
  <si>
    <t>สถานประกอบการมีช่องทางและกลไกการสื่อสารด้านสุขภาพที่หลากหลายและมีประสิทธิภาพ เช่น บอร์ดประชาสัมพันธ์ LINE Official Application Website เพื่อสร้างความตระหนักรู้และส่งเสริมพฤติกรรมสุขภาพที่ดี</t>
  </si>
  <si>
    <t>H1.15: งานวิจัยและประเมินสุขภาวะองค์กร (Organizational Health Research)</t>
  </si>
  <si>
    <t>สถานประกอบการสนับสนุนการทำวิจัยหรือร่วมมือกับหน่วยงานวิชาการในการศึกษาวิจัยด้านสุขภาวะองค์กร เพื่อนำผลไปใช้ในการพัฒนาและปรับปรุงระบบอย่างต่อเนื่อง</t>
  </si>
  <si>
    <t>รวม คะแนน</t>
  </si>
  <si>
    <t>ส่วนที่ 3: ตัวชี้วัดและเกณฑ์การประเมิน (60 ตัวชี้วัด)</t>
  </si>
  <si>
    <t>ส่วนนี้ประกอบด้วยรายละเอียดตัวชี้วัดทั้ง 60 ตัว แบ่งตามหมวดหมู่ 4 Pillars โดยแต่ละตัวชี้วัดจะมี:</t>
  </si>
  <si>
    <t>• คำอธิบายตัวชี้วัด (Indicator Definition)</t>
  </si>
  <si>
    <t>• เกณฑ์การประเมิน (Assessment Criteria) แบ่งเป็น 5 ระดับ (0, 0.25, 0.50, 0.75, 1.0)</t>
  </si>
  <si>
    <t>• หลักฐานประกอบ (Supporting Evidence)</t>
  </si>
  <si>
    <t>• การอ้างอิงหลักวิชาการและกฎหมาย (References)</t>
  </si>
  <si>
    <t>• ข้อเสนอแนะในการพัฒนา (Development Recommendations)</t>
  </si>
  <si>
    <t>จำนวน 15 ตัวชี้วัด / น้ำหนักคะแนน 300 คะแนน</t>
  </si>
  <si>
    <t>· คำอธิบายตัวชี้วัด:</t>
  </si>
  <si>
    <t>· เกณฑ์การประเมิน:</t>
  </si>
  <si>
    <t>คำอธิบาย</t>
  </si>
  <si>
    <t>ไม่มีนโยบายสุขภาวะเป็นลายลักษณ์อักษร</t>
  </si>
  <si>
    <t>มีนโยบายสุขภาวะเป็นลายลักษณ์อักษร แต่ยังไม่ประกาศอย่างเป็นทางการ</t>
  </si>
  <si>
    <t>มีนโยบายสุขภาวะที่ประกาศอย่างเป็นทางการ และแจ้งให้พนักงานทราบ</t>
  </si>
  <si>
    <t>มีนโยบายสุขภาวะที่บูรณาการกับยุทธศาสตร์องค์กร มีการทบทวนเป็นประจำ</t>
  </si>
  <si>
    <t xml:space="preserve"> มีนโยบายสุขภาวะที่ครอบคลุม บูรณาการกับยุทธศาสตร์ มีการทบทวนและปรับปรุงต่อเนื่อง มีการวัดผลสัมฤทธิ์</t>
  </si>
  <si>
    <t>ผลการประเมิน</t>
  </si>
  <si>
    <r>
      <rPr>
        <rFont val="TH SarabunPSK"/>
        <b/>
        <color rgb="FF000000"/>
        <sz val="16.0"/>
      </rPr>
      <t xml:space="preserve">· หลักฐานประกอบ: </t>
    </r>
    <r>
      <rPr>
        <rFont val="TH SarabunPSK"/>
        <b/>
        <color rgb="FFFF0000"/>
        <sz val="16.0"/>
      </rPr>
      <t>เอกสารนโยบาย, ประกาศนโยบาย, รายงานการประชุมผู้บริหาร, แผนยุทธศาสตร์, รายงานการทบทวนนโยบาย</t>
    </r>
  </si>
  <si>
    <t>โปรดแนบ Link เอกสาร</t>
  </si>
  <si>
    <t>1. เอกสารนโยบาย</t>
  </si>
  <si>
    <t>· การอ้างอิงหลักวิชาการ:</t>
  </si>
  <si>
    <t>เช่น WHO Healthy Workplace Framework (2010), Ottawa Charter for Health Promotion (1986), ISO 45001:2018 clause 5.2</t>
  </si>
  <si>
    <t>โปรดระบุอ้างอิง</t>
  </si>
  <si>
    <t>· ข้อเสนอแนะในการพัฒนา:</t>
  </si>
  <si>
    <t>เช่น</t>
  </si>
  <si>
    <t>• จัดทำนโยบายให้สอดคล้องกับบริบทองค์กร</t>
  </si>
  <si>
    <t>• ขอความเห็นชอบจากผู้บริหารระดับสูง</t>
  </si>
  <si>
    <t>• สื่อสารนโยบายผ่านช่องทางหลากหลาย</t>
  </si>
  <si>
    <t>• กำหนดตัวชี้วัดเพื่อติดตามผลการดำเนินงานตามนโยบาย</t>
  </si>
  <si>
    <t>โปรดระบุ</t>
  </si>
  <si>
    <t>ไม่มีแผนปฏิบัติการด้านสุขภาวะ</t>
  </si>
  <si>
    <t>มีแผนปฏิบัติการเบื้องต้น แต่ยังไม่มีรายละเอียดครบถ้วน</t>
  </si>
  <si>
    <t>มีแผนปฏิบัติการที่ชัดเจน มีงบประมาณและผู้รับผิดชอบ</t>
  </si>
  <si>
    <t>มีแผนปฏิบัติการครอบคลุมทุกมิติของสุขภาวะ มีการติดตามผลเป็นระยะ</t>
  </si>
  <si>
    <t>มีแผนปฏิบัติการที่บูรณาการและครบวงจร มีการประเมินผลและปรับปรุงอย่างต่อเนื่อง</t>
  </si>
  <si>
    <t>· หลักฐานประกอบ:</t>
  </si>
  <si>
    <t>เช่น แผนปฏิบัติการประจำปี, งบประมาณ, คำสั่งแต่งตั้งผู้รับผิดชอบ, รายงานผลการดำเนินงาน, รายงานการติดตามและประเมินผล</t>
  </si>
  <si>
    <t>เช่น แนวทางการจัดทำแผนงานสุขภาพองค์กร กรมสนับสนุนบริการสุขภาพ, PDCA Cycle (Deming, 1950)</t>
  </si>
  <si>
    <t>• กำหนดวัตถุประสงค์และเป้าหมายที่วัดผลได้</t>
  </si>
  <si>
    <t>• ทำ Situation Analysis เพื่อระบุความต้องการ</t>
  </si>
  <si>
    <t>• จัดสรรงบประมาณให้เพียงพอและเหมาะสม</t>
  </si>
  <si>
    <t>• กำหนด KPI และติดตามเป็นรายไตรมาส</t>
  </si>
  <si>
    <t>ไม่มีระบบข้อมูลสุขภาพ หรือมีแต่ไม่เป็นระบบ</t>
  </si>
  <si>
    <t>มีการเก็บข้อมูลสุขภาพพื้นฐาน แต่ยังไม่เป็นระบบ</t>
  </si>
  <si>
    <t>มีระบบฐานข้อมูลสุขภาพที่เป็นระบบ มีการรักษาความลับ</t>
  </si>
  <si>
    <t>มีระบบข้อมูลที่สามารถวิเคราะห์และออกรายงานได้ มีการอัพเดทสม่ำเสมอ</t>
  </si>
  <si>
    <t>มีระบบข้อมูลที่ทันสมัย สามารถบูรณาการกับระบบอื่น ใช้ในการตัดสินใจเชิงนโยบาย</t>
  </si>
  <si>
    <t>เช่น ระบบฐานข้อมูลหรือ Software, รายงานสถิติสุขภาพ, นโยบายคุ้มครองข้อมูลส่วนบุคคล, ตัวอย่างการวิเคราะห์ข้อมูล</t>
  </si>
  <si>
    <t>เช่น พ.ร.บ. คุ้มครองข้อมูลส่วนบุคคล พ.ศ. 2562, Health Information Management Principles, ISO 27001 (Information Security)</t>
  </si>
  <si>
    <t>• ใช้ระบบ HIS (Health Information System) หรือ EMR</t>
  </si>
  <si>
    <t>• กำหนดสิทธิการเข้าถึงข้อมูล (Access Control)</t>
  </si>
  <si>
    <t>• สำรองข้อมูลสม่ำเสมอ</t>
  </si>
  <si>
    <t>• วิเคราะห์ข้อมูลเพื่อหาแนวโน้มและวางแผนป้องกัน</t>
  </si>
  <si>
    <t>ไม่มีการตรวจสุขภาพพนักงาน</t>
  </si>
  <si>
    <t>มีการตรวจสุขภาพพนักงานบางส่วน แต่ยังไม่ครอบคลุม</t>
  </si>
  <si>
    <t>มีการตรวจสุขภาพครบทุกกลุ่มตามกฎหมาย มีรายงานผล</t>
  </si>
  <si>
    <t>มีการตรวจสุขภาพครอบคลุมกลุ่มเสี่ยง มีการติดตามผลผู้ป่วยและผู้เสี่ยง</t>
  </si>
  <si>
    <t>มีการตรวจสุขภาพครบถ้วน มีระบบติดตามผลต่อเนื่อง มีการวิเคราะห์และป้องกันเชิงรุก</t>
  </si>
  <si>
    <t>เช่น รายงานผลตรวจสุขภาพประจำปี, รายงานผลตรวจอาชีวอนามัย, ทะเบียนผู้ป่วยและผู้เสี่ยง, รายงานการติดตามผล</t>
  </si>
  <si>
    <t>เช่น ประกาศกระทรวงสาธารณสุข เรื่อง หลักเกณฑ์และวิธีการตรวจสุขภาพคนงาน, คู่มือการตรวจสุขภาพตามมาตรา 16 (กรมสนับสนุนบริการสุขภาพ)</t>
  </si>
  <si>
    <t>• จัดตรวจสุขภาพตามความเสี่ยงเฉพาะของงาน</t>
  </si>
  <si>
    <t>• ใช้แบบฟอร์มตรวจสุขภาพมาตรฐาน</t>
  </si>
  <si>
    <t>• ติดตามผู้ที่พบความผิดปกติอย่างใกล้ชิด</t>
  </si>
  <si>
    <t>• ให้คำปรึกษาและส่งต่อเมื่อจำเป็น</t>
  </si>
  <si>
    <t>ไม่มีบริการให้คำปรึกษา</t>
  </si>
  <si>
    <t>มีช่องทางให้คำปรึกษาเบื้องต้น แต่ยังไม่เป็นระบบ</t>
  </si>
  <si>
    <t>มีระบบให้คำปรึกษา มีช่องทางที่ชัดเจน</t>
  </si>
  <si>
    <t>มี EAP ที่ครบครัน มีผู้เชี่ยวชาญ มีการประชาสัมพันธ์</t>
  </si>
  <si>
    <t>มี EAP ครบวงจร มีการประเมินผลและพัฒนาอย่างต่อเนื่อง มีผลลัพธ์ที่ดี</t>
  </si>
  <si>
    <t>เช่น คู่มือ EAP, รายชื่อผู้ให้คำปรึกษา, สถิติการใช้บริการ, แบบประเมินความพึงพอใจ, ผลการประเมินผล</t>
  </si>
  <si>
    <t xml:space="preserve"> เช่น Employee Assistance Program Standards (EAPA), Mental Health at Work: Policy Brief (WHO 2022)</t>
  </si>
  <si>
    <t>• ร่วมมือกับโรงพยาบาลหรือคลินิกจิตเวช</t>
  </si>
  <si>
    <t>• เปิดช่องทาง Hotline หรือ Online Counseling</t>
  </si>
  <si>
    <t>• รักษาความลับอย่างเคร่งครัด</t>
  </si>
  <si>
    <t>• ประชาสัมพันธ์เพื่อลดความกังวลในการใช้บริการ</t>
  </si>
  <si>
    <t>ไม่มีโครงการป้องกัน NCDs</t>
  </si>
  <si>
    <t>มีกิจกรรมสุขภาพทั่วไป แต่ยังไม่เจาะจง NCDs</t>
  </si>
  <si>
    <t>มีโครงการป้องกัน NCDs บางโรค มีการติดตามผลบ้าง</t>
  </si>
  <si>
    <t>มีโครงการครอบคลุม NCDs หลัก มีการติดตามและประเมินผลเป็นระยะ</t>
  </si>
  <si>
    <t>มีโครงการป้องกัน NCDs ครบวงจร มีผลลัพธ์ที่ชัดเจน (ลดอุบัติการณ์ หรือควบคุมได้ดีขึ้น)</t>
  </si>
  <si>
    <t>เช่น รายงานโครงการ, สถิติผู้ป่วย NCDs, รายงานการติดตามผล, ผลการประเมินพฤติกรรมสุขภาพ</t>
  </si>
  <si>
    <t>เช่น แผนยุทธศาสตร์ป้องกันและควบคุมโรค NCDs (กระทรวงสาธารณสุข), WHO Global Action Plan for NCDs 2013-2020</t>
  </si>
  <si>
    <t>• คัดกรองกลุ่มเสี่ยงด้วย NCD Risk Assessment</t>
  </si>
  <si>
    <t>• จัดกิจกรรมรณรงค์ลดเกลือ น้ำตาล ไขมัน</t>
  </si>
  <si>
    <t>• จัดโปรแกรมออกกำลังกายเป็นกลุ่ม</t>
  </si>
  <si>
    <t>• ให้ความรู้และติดตามผลอย่างต่อเนื่อง</t>
  </si>
  <si>
    <t>ไม่มีการประเมินสุขภาพจิตหรือปัจจัยเสี่ยงทางจิตสังคม</t>
  </si>
  <si>
    <t>มีการสำรวจความเครียดเบื้องต้น แต่ยังไม่เป็นระบบ</t>
  </si>
  <si>
    <t>มีการประเมินสุขภาพจิตและความเครียดอย่างเป็นระบบ มีรายงานผล</t>
  </si>
  <si>
    <t>มีการประเมินครอบคลุมปัจจัยเสี่ยงทางจิตสังคม มีการดำเนินการปรับปรุง</t>
  </si>
  <si>
    <t>มีระบบประเมินและติดตามต่อเนื่อง มีมาตรการป้องกันและแก้ไขที่มีประสิทธิภาพ</t>
  </si>
  <si>
    <t>เช่น แบบประเมินสุขภาพจิต (เช่น SPST-20, GHQ, PHQ-9), รายงานผลการประเมิน, แผนปรับปรุงแก้ไข, รายงานการดำเนินการ</t>
  </si>
  <si>
    <t>เช่น EU-OSHA Framework on Psychosocial Risks, ILO Convention C190 on Violence and Harassment, แบบประเมิน SPST-20 (กรมสุขภาพจิต)</t>
  </si>
  <si>
    <t>• ใช้เครื่องมือประเมินมาตรฐาน เช่น SPST-20</t>
  </si>
  <si>
    <t>• ประเมินปีละ 1-2 ครั้ง</t>
  </si>
  <si>
    <t>• วิเคราะห์หาสาเหตุและปัจจัยเสี่ยง</t>
  </si>
  <si>
    <t>• จัดทำแผนลดความเครียดและปรับสภาพแวดล้อมการทำงาน</t>
  </si>
  <si>
    <t>ไม่มีนโยบายหรือโครงการเกี่ยวกับบุหรี่และแอลกอฮอล์</t>
  </si>
  <si>
    <t>มีนโยบายปลอดบุหรี่ แต่ยังไม่เข้มงวด ไม่มีโครงการช่วยเหลือ</t>
  </si>
  <si>
    <t>มีนโยบายชัดเจน มีพื้นที่สูบบุหรี่ที่กำหนด มีการรณรงค์</t>
  </si>
  <si>
    <t>มีนโยบาย Zero Tobacco มีโครงการช่วยเหลือเลิกบุหรี่และแอลกอฮอล์</t>
  </si>
  <si>
    <t>บังคับใช้นโยบายเข้มงวด มีโครงการช่วยเหลือที่มีประสิทธิภาพ มีผลลัพธ์ที่วัดได้</t>
  </si>
  <si>
    <t>เช่น นโยบายปลอดบุหรี่และแอลกอฮอล์, รายงานโครงการเลิกบุหรี่, สถิติผู้สูบบุหรี่และผู้เลิก, รายงานการรณรงค์</t>
  </si>
  <si>
    <t>เช่น พ.ร.บ. ควบคุมผลิตภัณฑ์ยาสูบ พ.ศ. 2560, WHO Framework Convention on Tobacco Control, นโยบายเครื่องดื่มแอลกอฮอล์ในสถานประกอบการ</t>
  </si>
  <si>
    <t>• ประกาศเป็นเขตปลอดบุหรี่ทั้งโรงงาน</t>
  </si>
  <si>
    <t>• ตรวจหาแอลกอฮอล์สุ่มและก่อนเข้างาน</t>
  </si>
  <si>
    <t>• จัดคลินิกเลิกบุหรี่ หรือร่วมมือกับโรงพยาบาล</t>
  </si>
  <si>
    <t>• ให้รางวัลกับผู้เลิกบุหรี่และแอลกอฮอล์ได้สำเร็จ</t>
  </si>
  <si>
    <t>ไม่มีกิจกรรมส่งเสริมสุขภาพ</t>
  </si>
  <si>
    <t>มีกิจกรรมส่งเสริมสุขภาพบางมิติ แต่ยังไม่สม่ำเสมอ</t>
  </si>
  <si>
    <t>มีกิจกรรมส่งเสริมสุขภาพหลากหลายมิติ จัดเป็นประจำ</t>
  </si>
  <si>
    <t>มีกิจกรรมครอบคลุม 4 มิติ มีการติดตามและประเมินผล</t>
  </si>
  <si>
    <t>มีกิจกรรมครบ 4 มิติอย่างบูรณาการ มีผลลัพธ์ที่ชัดเจนและยั่งยืน</t>
  </si>
  <si>
    <t>เช่น ตารางกิจกรรม, รายงานกิจกรรม, รูปถ่าย, ผลการประเมินความพึงพอใจ, ผลการเปลี่ยนแปลงพฤติกรรม</t>
  </si>
  <si>
    <t>เช่น Ottawa Charter for Health Promotion (WHO), Holistic Health Concept, National Health Promotion Policy (Thailand)</t>
  </si>
  <si>
    <t>• จัดกิจกรรมหลากหลาย เช่น โยคะ วิ่ง ฟิตเนส ทำบุญ</t>
  </si>
  <si>
    <t>• สร้างสมดุลชีวิต-การทำงาน</t>
  </si>
  <si>
    <t>• จัดกิจกรรมครอบครัวและชุมชน</t>
  </si>
  <si>
    <t>• ใช้ Application ติดตามสุขภาพ</t>
  </si>
  <si>
    <t>ไม่มีแกนนำสุขภาพ</t>
  </si>
  <si>
    <t>มีแกนนำสุขภาพ แต่ยังไม่ได้อบรม หรืออบรมไม่ครบ</t>
  </si>
  <si>
    <t>มีแกนนำสุขภาพที่ผ่านการอบรม ≥10 คน มีการมอบหมายหน้าที่</t>
  </si>
  <si>
    <t>มีแกนนำสุขภาพที่ทำงานอย่างจริงจัง มีการประชุมและจัดกิจกรรมเป็นประจำ</t>
  </si>
  <si>
    <t>มีเครือข่ายแกนนำที่เข้มแข็ง มีการพัฒนาศักยภาพต่อเนื่อง และมีผลงานเป็นรูปธรรม</t>
  </si>
  <si>
    <t>เช่น คำสั่งแต่งตั้งแกนนำสุขภาพ, หลักสูตรอบรม, รายชื่อและประวัติแกนนำ, รายงานกิจกรรมของแกนนำ</t>
  </si>
  <si>
    <t>เช่น Peer Education Model, Health Champions Framework (UK NHS), Community-Based Health Promotion</t>
  </si>
  <si>
    <t>• คัดเลือกแกนนำจากพนักงานทุกระดับ</t>
  </si>
  <si>
    <t>• อบรมความรู้สุขภาพและทักษะการสื่อสาร</t>
  </si>
  <si>
    <t>• ให้แรงจูงใจ เช่น วุฒิบัตร ของรางวัล</t>
  </si>
  <si>
    <t>• จัดประชุมแกนนำเป็นประจำ</t>
  </si>
  <si>
    <t>ไม่มีการดูแลด้านโภชนาการ</t>
  </si>
  <si>
    <t>มีโรงอาหาร แต่ไม่มีการควบคุมคุณภาพโภชนาการ</t>
  </si>
  <si>
    <t>มีเมนูอาหารสุขภาพบางรายการ มีฉลากโภชนาการบางเมนู</t>
  </si>
  <si>
    <t>มีเมนูอาหารสุขภาพหลากหลาย มีฉลากโภชนาการครบ มีการส่งเสริมให้เลือกทาน</t>
  </si>
  <si>
    <t>มีระบบบริหารจัดการโภชนาการที่ครบวงจร มีนักโภชนาการให้คำปรึกษา มีผลต่อสุขภาพพนักงาน</t>
  </si>
  <si>
    <t>เช่น เมนูอาหาร, ฉลากโภชนาการ, รายงานการตรวจสุขาภิบาลอาหาร, รายงานการให้คำปรึกษา, ผลการประเมินสุขภาพ</t>
  </si>
  <si>
    <t>เช่น Dietary Guidelines (WHO), Thai Nutrition Flag, กรมอนามัย กระทรวงสาธารณสุข</t>
  </si>
  <si>
    <t>• จัดเมนูอาหารสุขภาพ เช่น ผัก ผลไม้ อาหารต้มนึ่ง</t>
  </si>
  <si>
    <t>• แสดงพลังงาน โปรตีน ไขมัน น้ำตาล</t>
  </si>
  <si>
    <t>• ลดเค็ม หวาน มัน</t>
  </si>
  <si>
    <t>• จัดมุมผักผลไม้ฟรี</t>
  </si>
  <si>
    <t>ไม่มีการส่งเสริมการออกกำลังกาย</t>
  </si>
  <si>
    <t>มีกิจกรรมออกกำลังกายเป็นครั้งคราว</t>
  </si>
  <si>
    <t>มีกิจกรรมออกกำลังกายสม่ำเสมอ มีพื้นที่และอุปกรณ์เบื้องต้น</t>
  </si>
  <si>
    <t>มีโปรแกรมออกกำลังกายหลากหลาย มีฟิตเนส หรือศูนย์กีฬา มีการติดตามผล</t>
  </si>
  <si>
    <t>มีโปรแกรมออกกำลังกายครบวงจร มีผู้เชี่ยวชาญ มีระบบติดตามและประเมินผลอย่างต่อเนื่อง</t>
  </si>
  <si>
    <t>เช่น ตารางกิจกรรมออกกำลังกาย, รูปถ่ายสถานที่และอุปกรณ์, รายงานการเข้าร่วม, ผลการประเมินสมรรถภาพทางกาย</t>
  </si>
  <si>
    <t>เช่น WHO Physical Activity Guidelines (2020), ACSM Exercise Standards, Thai Physical Activity Recommendation</t>
  </si>
  <si>
    <t>• จัดกิจกรรมหลากหลาย เช่น แอโรบิก โยคะ ฟุตบอล วอลเล่ย์บอล</t>
  </si>
  <si>
    <t>• จัดพื้นที่ฟิตเนสหรือห้องออกกำลังกาย</t>
  </si>
  <si>
    <t>• จัดแข่งขันกีฬาภายใน</t>
  </si>
  <si>
    <t>• ใช้ Application นับก้าว หรือ Fitness Tracker</t>
  </si>
  <si>
    <t>ไม่มีสวัสดิการด้านสุขภาพนอกเหนือจากกฎหมาย</t>
  </si>
  <si>
    <t>มีสวัสดิการด้านสุขภาพเพิ่มเติมบางส่วน</t>
  </si>
  <si>
    <t>มีสวัสดิการครอบคลุมพนักงานและครอบครัว เช่น ประกันสุขภาพ</t>
  </si>
  <si>
    <t>มีสวัสดิการครอบคลุมและหลากหลาย มีการสื่อสารให้พนักงานรับทราบ</t>
  </si>
  <si>
    <t>มีแพ็กเกจสวัสดิการที่ครบครัน ยืดหยุ่น เหมาะสมกับความต้องการ มีการประเมินผลและปรับปรุง</t>
  </si>
  <si>
    <t>เช่น นโยบายสวัสดิการ, เอกสารประกันสุขภาพ, รายงานการใช้สิทธิ, ผลการประเมินความพึงพอใจ</t>
  </si>
  <si>
    <t>เช่น พ.ร.บ. ประกันสังคม พ.ศ. 2533, พ.ร.บ. เงินทดแทน พ.ศ. 2537, Employee Benefits Management</t>
  </si>
  <si>
    <t>• จัดประกันสุขภาพกลุ่มที่ครอบคลุม</t>
  </si>
  <si>
    <t>• มีกองทุนสวัสดิการหรือสหกรณ์ออมทรัพย์</t>
  </si>
  <si>
    <t>• จัดสวัสดิการด้านสุขภาพครอบครัว</t>
  </si>
  <si>
    <t>• สำรวจความต้องการและปรับปรุงให้เหมาะสม</t>
  </si>
  <si>
    <t>ไม่มีการสื่อสารด้านสุขภาพ</t>
  </si>
  <si>
    <t>มีการสื่อสารเป็นครั้งคราว ผ่านช่องทางเดียว</t>
  </si>
  <si>
    <t>มีการสื่อสารสม่ำเสมอ ผ่านช่องทางหลากหลาย</t>
  </si>
  <si>
    <t>มีแคมเปญสุขภาพเป็นประจำ มีสื่อที่น่าสนใจและเข้าใจง่าย</t>
  </si>
  <si>
    <t>มีระบบสื่อสารที่ครบวงจรและมีประสิทธิภาพ มีการประเมินผลและพัฒนาอย่างต่อเนื่อง</t>
  </si>
  <si>
    <t>เช่น ตัวอย่างสื่อประชาสัมพันธ์, ภาพหน้าจอ Application หรือ Website, รายงานแคมเปญ, ผลการประเมินการรับรู้</t>
  </si>
  <si>
    <t>เช่น Health Communication Theory, Social Marketing in Health Promotion, Digital Health Communication</t>
  </si>
  <si>
    <t>• ใช้ช่องทางหลากหลาย เช่น LINE, Facebook, E-mail, Poster</t>
  </si>
  <si>
    <t>• สื่อสารด้วยภาษาที่เข้าใจง่าย มีภาพประกอบ</t>
  </si>
  <si>
    <t>• จัดแคมเปญตามประเด็นสำคัญ เช่น วันงดสูบบุหรี่โลก</t>
  </si>
  <si>
    <t>• ติดตามและประเมินผลการรับรู้</t>
  </si>
  <si>
    <t>ไม่มีการทำวิจัยหรือร่วมวิจัย</t>
  </si>
  <si>
    <t>มีการเก็บข้อมูลเพื่อการประเมินเบื้องต้น</t>
  </si>
  <si>
    <t>มีการทำวิจัยหรือร่วมวิจัยอย่างน้อย 1 เรื่อง</t>
  </si>
  <si>
    <t>มีการทำวิจัยหรือร่วมวิจัยเป็นประจำ มีการนำผลไปใช้</t>
  </si>
  <si>
    <t>มีวิจัยเป็นรูปธรรม มีการเผยแพร่ และนำไปสู่การพัฒนาอย่างยั่งยืน</t>
  </si>
  <si>
    <t>เช่น รายงานวิจัย, บทความวิชาการ, MOU กับหน่วยงานวิชาการ, รายงานการนำผลวิจัยไปใช้</t>
  </si>
  <si>
    <t>เช่น Action Research in Occupational Health, Workplace Health Promotion Research Framework</t>
  </si>
  <si>
    <t>• ร่วมมือกับมหาวิทยาลัยหรือสถาบันวิจัย</t>
  </si>
  <si>
    <t>• กำหนดประเด็นวิจัยจากปัญหาจริงขององค์กร</t>
  </si>
  <si>
    <t>• จัดสรรงบประมาณสนับสนุนการวิจัย</t>
  </si>
  <si>
    <t>• เผยแพร่ผลงานวิจัยในการประชุมวิชาการ</t>
  </si>
  <si>
    <t>รวมผลการประเมิน 
(เต็ม 15 คะแนน)</t>
  </si>
  <si>
    <t>น้ำหนักคะแนน
(เต็ม 300 คะแนน)</t>
  </si>
  <si>
    <t>Pillar 2: Industrial Safety &amp; Environment (I2)</t>
  </si>
  <si>
    <r>
      <rPr>
        <rFont val="TH SarabunPSK"/>
        <b/>
        <color rgb="FF000000"/>
        <sz val="18.0"/>
      </rPr>
      <t xml:space="preserve">การประเมินผลการดำเนินการ 
</t>
    </r>
    <r>
      <rPr>
        <rFont val="TH SarabunPSK"/>
        <b val="0"/>
        <color rgb="FF000000"/>
        <sz val="18.0"/>
      </rPr>
      <t>(ประกอบด้วย จำนวน 15 ตัวชี้วัด / น้ำหนักคะแนน 300 คะแนน)</t>
    </r>
  </si>
  <si>
    <r>
      <rPr>
        <rFont val="TH SarabunPSK"/>
        <b/>
        <color rgb="FF000000"/>
        <sz val="18.0"/>
      </rPr>
      <t xml:space="preserve">กรอบแนวคิด : </t>
    </r>
    <r>
      <rPr>
        <rFont val="TH SarabunPSK"/>
        <color rgb="FF000000"/>
        <sz val="18.0"/>
      </rPr>
      <t>มุ่งเน้นการจัดการความปลอดภัยอาชีวอนามัยและสิ่งแวดล้อมในการทำงานตามมาตรฐานสากล ISO 45001:2018 (Occupational Health and Safety Management Systems), ISO 14001:2015 (Environmental Management Systems) และพระราชบัญญัติความปลอดภัย อาชีวอนามัย และสภาพแวดล้อมในการทำงาน พ.ศ. 2554</t>
    </r>
  </si>
  <si>
    <t xml:space="preserve">Industrial Safety &amp; Environment (I2) - ความปลอดภัยและสิ่งแวดล้อม (คะแนนเต็ม = 300 คะแนน) </t>
  </si>
  <si>
    <t>คะแนนเต็ม</t>
  </si>
  <si>
    <t>Pillar 2: Industrial Safety &amp; Environment (I2) - ความปลอดภัยและสิ่งแวดล้อม</t>
  </si>
  <si>
    <t>I2.1: นโยบายความปลอดภัยและสิ่งแวดล้อม (OHS &amp; Environment Policy)</t>
  </si>
  <si>
    <t>สถานประกอบการมีระบบและการดำเนินงานด้านนโยบายความปลอดภัยและสิ่งแวดล้อมตามมาตรฐานและกฎหมายที่เกี่ยวข้อง</t>
  </si>
  <si>
    <t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• N/A: ไม่รับการประเมิน</t>
  </si>
  <si>
    <t>N/A</t>
  </si>
  <si>
    <t>I2.2: ระบบ HIRARC (Hazard Identification &amp; Risk Assessment)</t>
  </si>
  <si>
    <t>สถานประกอบการมีระบบและการดำเนินงานด้านระบบ HIRARCตามมาตรฐานและกฎหมายที่เกี่ยวข้อง</t>
  </si>
  <si>
    <t>I2.3: การป้องกันและรายงานอุบัติเหตุ (Accident Prevention &amp; Reporting)</t>
  </si>
  <si>
    <t>สถานประกอบการมีระบบและการดำเนินงานด้านการป้องกันและรายงานอุบัติเหตุตามมาตรฐานและกฎหมายที่เกี่ยวข้อง</t>
  </si>
  <si>
    <t xml:space="preserve"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</t>
  </si>
  <si>
    <t>I2.4: อุปกรณ์ป้องกันอันตรายส่วนบุคคล (PPE) (Personal Protective Equipment)</t>
  </si>
  <si>
    <t>สถานประกอบการมีระบบและการดำเนินงานด้านอุปกรณ์ป้องกันอันตรายส่วนบุคคล (PPE)ตามมาตรฐานและกฎหมายที่เกี่ยวข้อง</t>
  </si>
  <si>
    <t>I2.5: การตรวจวัดสภาพแวดล้อมการทำงาน (Workplace Environment Monitoring)</t>
  </si>
  <si>
    <t>สถานประกอบการมีระบบและการดำเนินงานด้านการตรวจวัดสภาพแวดล้อมการทำงานตามมาตรฐานและกฎหมายที่เกี่ยวข้อง</t>
  </si>
  <si>
    <t>I2.6: ระบบบริหารจัดการสารเคมี (Chemical Management System)</t>
  </si>
  <si>
    <t>สถานประกอบการมีระบบและการดำเนินงานด้านระบบบริหารจัดการสารเคมีตามมาตรฐานและกฎหมายที่เกี่ยวข้อง</t>
  </si>
  <si>
    <t>I2.7: การป้องกันและระงับอัคคีภัย (Fire Prevention &amp; Control)</t>
  </si>
  <si>
    <t>สถานประกอบการมีระบบและการดำเนินงานด้านการป้องกันและระงับอัคคีภัยตามมาตรฐานและกฎหมายที่เกี่ยวข้อง</t>
  </si>
  <si>
    <t>I2.8: แผนฉุกเฉินและการซ้อมหนีไฟ (Emergency Response Plan)</t>
  </si>
  <si>
    <t>สถานประกอบการมีระบบและการดำเนินงานด้านแผนฉุกเฉินและการซ้อมหนีไฟตามมาตรฐานและกฎหมายที่เกี่ยวข้อง</t>
  </si>
  <si>
    <t>I2.9: ความปลอดภัยเครื่องจักรและอุปกรณ์ (Machine &amp; Equipment Safety)</t>
  </si>
  <si>
    <t>สถานประกอบการมีระบบและการดำเนินงานด้านความปลอดภัยเครื่องจักรและอุปกรณ์ตามมาตรฐานและกฎหมายที่เกี่ยวข้อง</t>
  </si>
  <si>
    <t>I2.10: การจัดการคุณภาพอากาศและเสียง (Air Quality &amp; Noise Management)</t>
  </si>
  <si>
    <t>สถานประกอบการมีระบบและการดำเนินงานด้านการจัดการคุณภาพอากาศและเสียงตามมาตรฐานและกฎหมายที่เกี่ยวข้อง</t>
  </si>
  <si>
    <t>I2.11: การจัดการน้ำเสียและของเสีย (Wastewater &amp; Waste Management)</t>
  </si>
  <si>
    <t>สถานประกอบการมีระบบและการดำเนินงานด้านการจัดการน้ำเสียและของเสียตามมาตรฐานและกฎหมายที่เกี่ยวข้อง</t>
  </si>
  <si>
    <t xml:space="preserve"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</t>
  </si>
  <si>
    <t>I2.12: การประหยัดพลังงาน (Energy Conservation)</t>
  </si>
  <si>
    <t>สถานประกอบการมีระบบและการดำเนินงานด้านการประหยัดพลังงานตามมาตรฐานและกฎหมายที่เกี่ยวข้อง</t>
  </si>
  <si>
    <t>I2.13: การจัดการก๊าซเรือนกระจก (GHG Management)</t>
  </si>
  <si>
    <t>สถานประกอบการมีระบบและการดำเนินงานด้านการจัดการก๊าซเรือนกระจกตามมาตรฐานและกฎหมายที่เกี่ยวข้อง</t>
  </si>
  <si>
    <t>I2.14: ระบบ ISO หรือมาตรฐานสากล (ISO Certification)</t>
  </si>
  <si>
    <t>สถานประกอบการมีระบบและการดำเนินงานด้านระบบ ISO หรือมาตรฐานสากลตามมาตรฐานและกฎหมายที่เกี่ยวข้อง</t>
  </si>
  <si>
    <t>I2.15: การตรวจ Audit ด้านความปลอดภัยและสิ่งแวดล้อม (Safety &amp; Environment Audit)</t>
  </si>
  <si>
    <t>สถานประกอบการมีระบบและการดำเนินงานด้านการตรวจ Audit ด้านความปลอดภัยและสิ่งแวดล้อมตามมาตรฐานและกฎหมายที่เกี่ยวข้อง</t>
  </si>
  <si>
    <t>Pillar 3: Community Engagement (C3)</t>
  </si>
  <si>
    <r>
      <rPr>
        <rFont val="TH SarabunPSK"/>
        <b/>
        <color rgb="FF000000"/>
        <sz val="18.0"/>
      </rPr>
      <t xml:space="preserve">การประเมินผลการดำเนินการ 
</t>
    </r>
    <r>
      <rPr>
        <rFont val="TH SarabunPSK"/>
        <b val="0"/>
        <color rgb="FF000000"/>
        <sz val="18.0"/>
      </rPr>
      <t>(ประกอบด้วย จำนวน 15 ตัวชี้วัด / น้ำหนักคะแนน 200 คะแนน)</t>
    </r>
  </si>
  <si>
    <r>
      <rPr>
        <rFont val="TH SarabunPSK"/>
        <b/>
        <color rgb="FF000000"/>
        <sz val="18.0"/>
      </rPr>
      <t xml:space="preserve">กรอบแนวคิด : </t>
    </r>
    <r>
      <rPr>
        <rFont val="TH SarabunPSK"/>
        <color rgb="FF000000"/>
        <sz val="18.0"/>
      </rPr>
      <t xml:space="preserve"> มุ่งเน้นการสร้างความสัมพันธ์เชิงบวกระหว่างสถานประกอบการกับชุมชนโดยรอบ ตามแนวคิด Shared Value Creation และ Social License to Operate เชื่อมโยงกับเป้าหมายการพัฒนาที่ยั่งยืน (SDGs) โดยเฉพาะเป้าหมายที่ 3 (สุขภาพและความเป็นอยู่ที่ดี), เป้าหมายที่ 11 (เมืองและชุมชนที่ยั่งยืน) และเป้าหมายที่ 17 (ความร่วมมือเพื่อการพัฒนา)</t>
    </r>
  </si>
  <si>
    <t xml:space="preserve">Community Engagement (C3) - การมีส่วนร่วมกับชุมชน (คะแนนเต็ม = 200 คะแนน) </t>
  </si>
  <si>
    <t>Pillar 3: Community Engagement (C3) - การมีส่วนร่วมกับชุมชน</t>
  </si>
  <si>
    <t>C3.1: นโยบาย CSR และชุมชนสัมพันธ์ (CSR &amp; Community Relations Policy)</t>
  </si>
  <si>
    <t>สถานประกอบการมีการดำเนินงานด้านนโยบาย CSR และชุมชนสัมพันธ์อย่างต่อเนื่องและสร้างผลกระทบเชิงบวกต่อชุมชน</t>
  </si>
  <si>
    <t xml:space="preserve">• ระดับ 0: ไม่มีการดำเนินงาน
• ระดับ 0.25: มีการดำเนินงานเบื้องต้น เป็นครั้งคราว
• ระดับ 0.50: มีโครงการและกิจกรรมสม่ำเสมอ
• ระดับ 0.75: มีโครงการที่ครอบคลุม มีการติดตามและประเมินผล
• ระดับ 1.0: มีโครงการที่ยั่งยืน สร้างคุณค่าร่วมกับชุมชน มีผลลัพธ์ที่วัดได้
</t>
  </si>
  <si>
    <t>C3.2: การมีส่วนร่วมของชุมชน (Community Participation)</t>
  </si>
  <si>
    <t>สถานประกอบการมีการดำเนินงานด้านการมีส่วนร่วมของชุมชนอย่างต่อเนื่องและสร้างผลกระทบเชิงบวกต่อชุมชน</t>
  </si>
  <si>
    <t>C3.3: ช่องทางรับฟังความคิดเห็นและข้อร้องเรียน (Feedback &amp; Complaint Channels)</t>
  </si>
  <si>
    <t>สถานประกอบการมีการดำเนินงานด้านช่องทางรับฟังความคิดเห็นและข้อร้องเรียนอย่างต่อเนื่องและสร้างผลกระทบเชิงบวกต่อชุมชน</t>
  </si>
  <si>
    <t>C3.4: โครงการส่งเสริมสุขภาพชุมชน (Community Health Promotion)</t>
  </si>
  <si>
    <t>สถานประกอบการมีการดำเนินงานด้านโครงการส่งเสริมสุขภาพชุมชนอย่างต่อเนื่องและสร้างผลกระทบเชิงบวกต่อชุมชน</t>
  </si>
  <si>
    <t>C3.5: โครงการพัฒนาคุณภาพชีวิตชุมชน (Community Quality of Life)</t>
  </si>
  <si>
    <t>สถานประกอบการมีการดำเนินงานด้านโครงการพัฒนาคุณภาพชีวิตชุมชนอย่างต่อเนื่องและสร้างผลกระทบเชิงบวกต่อชุมชน</t>
  </si>
  <si>
    <t>C3.6: การสนับสนุนการศึกษาและทุนการศึกษา (Education Support)</t>
  </si>
  <si>
    <t>สถานประกอบการมีการดำเนินงานด้านการสนับสนุนการศึกษาและทุนการศึกษาอย่างต่อเนื่องและสร้างผลกระทบเชิงบวกต่อชุมชน</t>
  </si>
  <si>
    <t>C3.7: การส่งเสริมอาชีพและรายได้ชุมชน (Occupation &amp; Income Generation)</t>
  </si>
  <si>
    <t>สถานประกอบการมีการดำเนินงานด้านการส่งเสริมอาชีพและรายได้ชุมชนอย่างต่อเนื่องและสร้างผลกระทบเชิงบวกต่อชุมชน</t>
  </si>
  <si>
    <t>C3.8: การดูแลสิ่งแวดล้อมชุมชน (Community Environment Care)</t>
  </si>
  <si>
    <t>สถานประกอบการมีการดำเนินงานด้านการดูแลสิ่งแวดล้อมชุมชนอย่างต่อเนื่องและสร้างผลกระทบเชิงบวกต่อชุมชน</t>
  </si>
  <si>
    <t>C3.9: การจัดการผลกระทบต่อชุมชน (Community Impact Management)</t>
  </si>
  <si>
    <t>สถานประกอบการมีการดำเนินงานด้านการจัดการผลกระทบต่อชุมชนอย่างต่อเนื่องและสร้างผลกระทบเชิงบวกต่อชุมชน</t>
  </si>
  <si>
    <t>C3.10: การสนับสนุนโครงสร้างพื้นฐานชุมชน (Community Infrastructure Support)</t>
  </si>
  <si>
    <t>สถานประกอบการมีการดำเนินงานด้านการสนับสนุนโครงสร้างพื้นฐานชุมชนอย่างต่อเนื่องและสร้างผลกระทบเชิงบวกต่อชุมชน</t>
  </si>
  <si>
    <t>C3.11: การส่งเสริมวัฒนธรรมและประเพณีท้องถิ่น (Local Culture Promotion)</t>
  </si>
  <si>
    <t>สถานประกอบการมีการดำเนินงานด้านการส่งเสริมวัฒนธรรมและประเพณีท้องถิ่นอย่างต่อเนื่องและสร้างผลกระทบเชิงบวกต่อชุมชน</t>
  </si>
  <si>
    <t>C3.12: การประสานงานกับหน่วยงานท้องถิ่น (Local Authority Coordination)</t>
  </si>
  <si>
    <t>สถานประกอบการมีการดำเนินงานด้านการประสานงานกับหน่วยงานท้องถิ่นอย่างต่อเนื่องและสร้างผลกระทบเชิงบวกต่อชุมชน</t>
  </si>
  <si>
    <t>C3.13: รายงาน CSR และการสื่อสาร (CSR Reporting &amp; Communication)</t>
  </si>
  <si>
    <t>สถานประกอบการมีการดำเนินงานด้านรายงาน CSR และการสื่อสารอย่างต่อเนื่องและสร้างผลกระทบเชิงบวกต่อชุมชน</t>
  </si>
  <si>
    <t>C3.14: การประเมินความพึงพอใจของชุมชน (Community Satisfaction Assessment)</t>
  </si>
  <si>
    <t>สถานประกอบการมีการดำเนินงานด้านการประเมินความพึงพอใจของชุมชนอย่างต่อเนื่องและสร้างผลกระทบเชิงบวกต่อชุมชน</t>
  </si>
  <si>
    <t>C3.15: โครงการอาสาสมัครพนักงาน (Employee Volunteer Program)</t>
  </si>
  <si>
    <t>สถานประกอบการมีการดำเนินงานด้านโครงการอาสาสมัครพนักงานอย่างต่อเนื่องและสร้างผลกระทบเชิงบวกต่อชุมชน</t>
  </si>
  <si>
    <t xml:space="preserve">Pillar 4: Management &amp; Sustainability (M4) </t>
  </si>
  <si>
    <r>
      <rPr>
        <rFont val="TH SarabunPSK"/>
        <b/>
        <color rgb="FF000000"/>
        <sz val="18.0"/>
      </rPr>
      <t xml:space="preserve">การประเมินผลการดำเนินการ 
</t>
    </r>
    <r>
      <rPr>
        <rFont val="TH SarabunPSK"/>
        <b val="0"/>
        <color rgb="FF000000"/>
        <sz val="18.0"/>
      </rPr>
      <t>(ประกอบด้วย จำนวน 15 ตัวชี้วัด / น้ำหนักคะแนน 200 คะแนน)</t>
    </r>
  </si>
  <si>
    <r>
      <rPr>
        <rFont val="TH SarabunPSK"/>
        <b/>
        <color rgb="FF000000"/>
        <sz val="18.0"/>
      </rPr>
      <t xml:space="preserve">กรอบแนวคิด : </t>
    </r>
    <r>
      <rPr>
        <rFont val="TH SarabunPSK"/>
        <color rgb="FF000000"/>
        <sz val="18.0"/>
      </rPr>
      <t xml:space="preserve"> มุ่งเน้นการบริหารจัดการองค์กรแบบบูรณาการที่เชื่อมโยงกับกลยุทธ์ระยะยาว ตามหลักการ ESG (Environmental, Social, and Governance) และ GRI Standards (Global Reporting Initiative) เพื่อความโปร่งใส ตรวจสอบได้ และยั่งยืน</t>
    </r>
  </si>
  <si>
    <t xml:space="preserve">Management &amp; Sustainability (M4) - การบริหารจัดการและความยั่งยืน (คะแนนเต็ม = 200 คะแนน) </t>
  </si>
  <si>
    <t>Pillar 4: Management &amp; Sustainability (M4) - การบริหารจัดการและความยั่งยืน</t>
  </si>
  <si>
    <t>M4.1: ภาวะผู้นำและความมุ่งมั่นของผู้บริหาร (Leadership &amp; Commitment)</t>
  </si>
  <si>
    <t>สถานประกอบการมีระบบบริหารจัดการด้านภาวะผู้นำและความมุ่งมั่นของผู้บริหารที่มีประสิทธิภาพและสนับสนุนการพัฒนาที่ยั่งยืน</t>
  </si>
  <si>
    <t xml:space="preserve">• ระดับ 0: ไม่มีระบบหรือการดำเนินการ
• ระดับ 0.25: มีระบบเบื้องต้น แต่ยังไม่เป็นทางการ
• ระดับ 0.50: มีระบบที่เป็นทางการ มีการดำเนินงานอย่างสม่ำเสมอ
• ระดับ 0.75: มีระบบที่มีประสิทธิภาพ มีการติดตามและปรับปรุง
• ระดับ 1.0: มีระบบที่เป็นเลิศ บูรณาการทั้งองค์กร มีการพัฒนาต่อเนื่อง
</t>
  </si>
  <si>
    <t>M4.2: โครงสร้างองค์กรและบทบาทหน้าที่ (Organizational Structure)</t>
  </si>
  <si>
    <t>สถานประกอบการมีระบบบริหารจัดการด้านโครงสร้างองค์กรและบทบาทหน้าที่ที่มีประสิทธิภาพและสนับสนุนการพัฒนาที่ยั่งยืน</t>
  </si>
  <si>
    <t>M4.3: ระบบบูรณาการและเชื่อมโยงยุทธศาสตร์ (Strategic Integration)</t>
  </si>
  <si>
    <t>สถานประกอบการมีระบบบริหารจัดการด้านระบบบูรณาการและเชื่อมโยงยุทธศาสตร์ที่มีประสิทธิภาพและสนับสนุนการพัฒนาที่ยั่งยืน</t>
  </si>
  <si>
    <t>M4.4: ระบบ KPI และ Dashboard (KPI Dashboard System)</t>
  </si>
  <si>
    <t>สถานประกอบการมีระบบบริหารจัดการด้านระบบ KPI และ Dashboardที่มีประสิทธิภาพและสนับสนุนการพัฒนาที่ยั่งยืน</t>
  </si>
  <si>
    <t>M4.5: การประเมินผลและติดตาม (M&amp;E) (Monitoring &amp; Evaluation)</t>
  </si>
  <si>
    <t>สถานประกอบการมีระบบบริหารจัดการด้านการประเมินผลและติดตาม (M&amp;E)ที่มีประสิทธิภาพและสนับสนุนการพัฒนาที่ยั่งยืน</t>
  </si>
  <si>
    <t>M4.6: การบริหารความเสี่ยงองค์กร (ERM) (Enterprise Risk Management)</t>
  </si>
  <si>
    <t>สถานประกอบการมีระบบบริหารจัดการด้านการบริหารความเสี่ยงองค์กร (ERM)ที่มีประสิทธิภาพและสนับสนุนการพัฒนาที่ยั่งยืน</t>
  </si>
  <si>
    <t>M4.7: การปฏิบัติตามจริยธรรมและธรรมาภิบาล (Compliance &amp; Ethics)</t>
  </si>
  <si>
    <t>สถานประกอบการมีระบบบริหารจัดการด้านการปฏิบัติตามจริยธรรมและธรรมาภิบาลที่มีประสิทธิภาพและสนับสนุนการพัฒนาที่ยั่งยืน</t>
  </si>
  <si>
    <t>M4.8: การพัฒนาศักยภาพบุคลากร (Capacity Building)</t>
  </si>
  <si>
    <t>สถานประกอบการมีระบบบริหารจัดการด้านการพัฒนาศักยภาพบุคลากรที่มีประสิทธิภาพและสนับสนุนการพัฒนาที่ยั่งยืน</t>
  </si>
  <si>
    <t>M4.9: การคุ้มครองข้อมูลสุขภาพ (PDPA) (Health Data Privacy)</t>
  </si>
  <si>
    <t>สถานประกอบการมีระบบบริหารจัดการด้านการคุ้มครองข้อมูลสุขภาพ (PDPA)ที่มีประสิทธิภาพและสนับสนุนการพัฒนาที่ยั่งยืน</t>
  </si>
  <si>
    <t>M4.10: นวัตกรรมสุขภาพและความปลอดภัย (Health &amp; Safety Innovation)</t>
  </si>
  <si>
    <t>สถานประกอบการมีระบบบริหารจัดการด้านนวัตกรรมสุขภาพและความปลอดภัยที่มีประสิทธิภาพและสนับสนุนการพัฒนาที่ยั่งยืน</t>
  </si>
  <si>
    <t>M4.11: ระบบรางวัลและแรงจูงใจ (Reward &amp; Incentive System)</t>
  </si>
  <si>
    <t>สถานประกอบการมีระบบบริหารจัดการด้านระบบรางวัลและแรงจูงใจที่มีประสิทธิภาพและสนับสนุนการพัฒนาที่ยั่งยืน</t>
  </si>
  <si>
    <t>M4.12: งบประมาณและการจัดสรรทรัพยากร (Budget &amp; Resource Allocation)</t>
  </si>
  <si>
    <t>สถานประกอบการมีระบบบริหารจัดการด้านงบประมาณและการจัดสรรทรัพยากรที่มีประสิทธิภาพและสนับสนุนการพัฒนาที่ยั่งยืน</t>
  </si>
  <si>
    <t>M4.13: การสื่อสารและการมีส่วนร่วมของพนักงาน (Communication &amp; Engagement)</t>
  </si>
  <si>
    <t>สถานประกอบการมีระบบบริหารจัดการด้านการสื่อสารและการมีส่วนร่วมของพนักงานที่มีประสิทธิภาพและสนับสนุนการพัฒนาที่ยั่งยืน</t>
  </si>
  <si>
    <t>M4.14: ระบบจัดการเอกสารและความรู้ (Document &amp; Knowledge Management)</t>
  </si>
  <si>
    <t>สถานประกอบการมีระบบบริหารจัดการด้านระบบจัดการเอกสารและความรู้ที่มีประสิทธิภาพและสนับสนุนการพัฒนาที่ยั่งยืน</t>
  </si>
  <si>
    <t>M4.15: การปรับปรุงอย่างต่อเนื่อง (CI) (Continuous Improvement)</t>
  </si>
  <si>
    <t>สถานประกอบการมีระบบบริหารจัดการด้านการปรับปรุงอย่างต่อเนื่อง (CI)ที่มีประสิทธิภาพและสนับสนุนการพัฒนาที่ยั่งยืน</t>
  </si>
  <si>
    <t>สรุปผลการประเมิน HICM V2025</t>
  </si>
  <si>
    <t>ตารางสรุปคะแนนแต่ละ Pillar</t>
  </si>
  <si>
    <t>คะแนนรวม
 (ไม่ปรับสัดส่วน)</t>
  </si>
  <si>
    <t>Pillar 1: Health Promotion</t>
  </si>
  <si>
    <t>/ 300</t>
  </si>
  <si>
    <t>Pillar 2: Safety &amp; Environment</t>
  </si>
  <si>
    <t>Pillar 3: Community Engagement</t>
  </si>
  <si>
    <t>/ 200</t>
  </si>
  <si>
    <t>Pillar 4: Management &amp; Sustainability</t>
  </si>
  <si>
    <t>รวมทั้งหมด</t>
  </si>
  <si>
    <t>/ 1,000</t>
  </si>
  <si>
    <t>ระดับการรับรอง (HICM Recognition Level)</t>
  </si>
  <si>
    <t>ชื่อระดับและความหมาย</t>
  </si>
  <si>
    <t>ระดับโลก (World-Class) - องค์กรมีมาตรฐานระดับสากล เป็นต้นแบบแห่งการเรียนรู้</t>
  </si>
  <si>
    <t>เป็นเลิศ (Excellence) - องค์กรมีมาตรฐานสูง เป็นแบบอย่างที่ดี</t>
  </si>
  <si>
    <t>พัฒนาดี (Performing) - องค์กรมีระบบที่ดี มีการดำเนินงานอย่างมีประสิทธิภาพ</t>
  </si>
  <si>
    <t>กำลังพัฒนา (Developing) - องค์กรมีระบบพื้นฐานครบ กำลังพัฒนาให้ครอบคลุม</t>
  </si>
  <si>
    <t>เริ่มต้น (Emerging) - องค์กรเริ่มให้ความสำคัญกับสุขภาวะ มีพื้นฐานบางส่วน</t>
  </si>
  <si>
    <t>ผลการประเมินขององค์กร : 
(เต็ม 1,000 คะแนน)</t>
  </si>
  <si>
    <t xml:space="preserve">คะแนน </t>
  </si>
  <si>
    <t xml:space="preserve">ระดับที่ได้รับ : </t>
  </si>
  <si>
    <t>:</t>
  </si>
  <si>
    <t>ลายเซ็นผู้ประเมิน</t>
  </si>
  <si>
    <t>ลายเซ็นผู้ประเมิน: _______________________</t>
  </si>
  <si>
    <t>ลายเซ็นผู้รับการประเมิน: _______________________</t>
  </si>
  <si>
    <t>ชื่อ: _____________________________________</t>
  </si>
  <si>
    <t>วันที่: _____ / _____ / _____</t>
  </si>
  <si>
    <t>ส่วนที่ 4: แบบฟอร์มการประเมินและสรุปผล</t>
  </si>
  <si>
    <t>ส่วนนี้เป็นแบบฟอร์มสำหรับการบันทึกผลการประเมินและสรุปคะแนนรวม เพื่อจัดระดับสถานประกอบการตามเกณฑ์ HICM V2025</t>
  </si>
  <si>
    <t>ข้อมูลพื้นฐานสถานประกอบการ</t>
  </si>
  <si>
    <t>ชื่อสถานประกอบการ :</t>
  </si>
  <si>
    <t>ที่อยู่ :</t>
  </si>
  <si>
    <t>ประเภทอุตสาหกรรม :</t>
  </si>
  <si>
    <t>จำนวนพนักงาน :</t>
  </si>
  <si>
    <t>ผู้ประเมิน :</t>
  </si>
  <si>
    <t>ตำแหน่ง :</t>
  </si>
  <si>
    <t>วันที่ประเมิน :</t>
  </si>
  <si>
    <t>รอบการประเมิน :</t>
  </si>
  <si>
    <t>สรุปผลคะแนนแต่ละ Pillar</t>
  </si>
  <si>
    <t>ร้อยละ (%)</t>
  </si>
  <si>
    <t>H1: Health Promotion</t>
  </si>
  <si>
    <t>I2: Industrial Safety &amp; Environment</t>
  </si>
  <si>
    <t>C3: Community Engagement</t>
  </si>
  <si>
    <t>M4: Management &amp; Sustainability</t>
  </si>
  <si>
    <t>รวมคะแนนทั้งหมด</t>
  </si>
  <si>
    <t>ระดับการรับรอง HICM</t>
  </si>
  <si>
    <t>Level 1: เริ่มต้น (Emerging)</t>
  </si>
  <si>
    <t>Level 2: กำลังพัฒนา (Developing)</t>
  </si>
  <si>
    <t>Level 3: พัฒนาดี (Performing)</t>
  </si>
  <si>
    <t>Level 4: เป็นเลิศ (Excellence)</t>
  </si>
  <si>
    <t>Level 5: ระดับโลก (World-Class)</t>
  </si>
  <si>
    <t>วิเคราะห์จุดแข็งและจุดที่ควรพัฒนา</t>
  </si>
  <si>
    <t>จุดแข็ง
 (Strengths)</t>
  </si>
  <si>
    <t>1)
2)
3)</t>
  </si>
  <si>
    <r>
      <rPr>
        <rFont val="TH SarabunPSK"/>
        <b/>
        <color theme="1"/>
        <sz val="16.0"/>
      </rPr>
      <t xml:space="preserve">จุดที่ควรพัฒนา </t>
    </r>
    <r>
      <rPr>
        <rFont val="TH SarabunPSK"/>
        <b/>
        <color theme="1"/>
        <sz val="16.0"/>
      </rPr>
      <t xml:space="preserve">
(Areas for Improvement)</t>
    </r>
  </si>
  <si>
    <t>แผนการพัฒนาในรอบถัดไป</t>
  </si>
  <si>
    <t>ลำดับ</t>
  </si>
  <si>
    <t>กิจกรรม/โครงการ</t>
  </si>
  <si>
    <t>ผู้รับผิดชอบ</t>
  </si>
  <si>
    <t>ระยะเวลา</t>
  </si>
  <si>
    <t>งบประมาณ</t>
  </si>
  <si>
    <t>ลายเซ็นผู้ประเมินและผู้อนุมัติ</t>
  </si>
  <si>
    <t xml:space="preserve">ผู้ประเมิน: </t>
  </si>
  <si>
    <t xml:space="preserve">วันที่: </t>
  </si>
  <si>
    <t>ผู้ตรวจสอบ:</t>
  </si>
  <si>
    <t xml:space="preserve">ผู้อนุมัติ:  </t>
  </si>
  <si>
    <t>(ผู้บริหารระดับสูง)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</si>
</sst>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1">
    <font>
      <sz val="10.0"/>
      <color rgb="FF000000"/>
      <name val="Arial"/>
      <scheme val="minor"/>
    </font>
    <font>
      <sz val="16.0"/>
      <color theme="1"/>
      <name val="TH SarabunPSK"/>
    </font>
    <font>
      <b/>
      <sz val="16.0"/>
      <color rgb="FF003366"/>
      <name val="TH SarabunPSK"/>
    </font>
    <font>
      <b/>
      <i/>
      <sz val="16.0"/>
      <color rgb="FF003366"/>
      <name val="TH SarabunPSK"/>
    </font>
    <font>
      <b/>
      <sz val="16.0"/>
      <color rgb="FF365F91"/>
      <name val="TH SarabunPSK"/>
    </font>
    <font>
      <b/>
      <sz val="16.0"/>
      <color rgb="FF4F81BD"/>
      <name val="TH SarabunPSK"/>
    </font>
    <font>
      <b/>
      <sz val="16.0"/>
      <color rgb="FF000000"/>
      <name val="TH SarabunPSK"/>
    </font>
    <font>
      <b/>
      <sz val="16.0"/>
      <color rgb="FF073763"/>
      <name val="TH SarabunPSK"/>
    </font>
    <font>
      <b/>
      <sz val="16.0"/>
      <color rgb="FF365F91"/>
      <name val="&quot;TH SarabunPSK&quot;"/>
    </font>
    <font>
      <b/>
      <sz val="16.0"/>
      <color rgb="FF0C343D"/>
      <name val="&quot;TH SarabunPSK&quot;"/>
    </font>
    <font>
      <b/>
      <sz val="16.0"/>
      <color rgb="FFFFFFFF"/>
      <name val="&quot;TH SarabunPSK&quot;"/>
    </font>
    <font>
      <b/>
      <sz val="16.0"/>
      <color rgb="FF000000"/>
      <name val="&quot;TH SarabunPSK&quot;"/>
    </font>
    <font>
      <b/>
      <sz val="16.0"/>
      <color rgb="FF4F81BD"/>
      <name val="&quot;TH SarabunPSK&quot;"/>
    </font>
    <font>
      <b/>
      <sz val="16.0"/>
      <color rgb="FF980000"/>
      <name val="&quot;TH SarabunPSK&quot;"/>
    </font>
    <font/>
    <font>
      <b/>
      <sz val="16.0"/>
      <color rgb="FFFF0000"/>
      <name val="&quot;TH SarabunPSK&quot;"/>
    </font>
    <font>
      <b/>
      <sz val="16.0"/>
      <color rgb="FFFF9900"/>
      <name val="&quot;TH SarabunPSK&quot;"/>
    </font>
    <font>
      <b/>
      <sz val="16.0"/>
      <color rgb="FFA64D79"/>
      <name val="&quot;TH SarabunPSK&quot;"/>
    </font>
    <font>
      <b/>
      <sz val="16.0"/>
      <color rgb="FF38761D"/>
      <name val="&quot;TH SarabunPSK&quot;"/>
    </font>
    <font>
      <color rgb="FF0C343D"/>
      <name val="Arial"/>
      <scheme val="minor"/>
    </font>
    <font>
      <b/>
      <sz val="22.0"/>
      <color rgb="FF000000"/>
      <name val="TH SarabunPSK"/>
    </font>
    <font>
      <sz val="18.0"/>
      <color rgb="FF000000"/>
      <name val="TH SarabunPSK"/>
    </font>
    <font>
      <sz val="16.0"/>
      <color rgb="FF000000"/>
      <name val="TH SarabunPSK"/>
    </font>
    <font>
      <b/>
      <sz val="18.0"/>
      <color rgb="FF000000"/>
      <name val="TH SarabunPSK"/>
    </font>
    <font>
      <b/>
      <sz val="18.0"/>
      <color theme="1"/>
      <name val="TH SarabunPSK"/>
    </font>
    <font>
      <sz val="18.0"/>
      <color theme="1"/>
      <name val="Arial"/>
      <scheme val="minor"/>
    </font>
    <font>
      <sz val="18.0"/>
      <color theme="1"/>
      <name val="TH SarabunPSK"/>
    </font>
    <font>
      <b/>
      <sz val="16.0"/>
      <color theme="1"/>
      <name val="TH SarabunPSK"/>
    </font>
    <font>
      <b/>
      <sz val="16.0"/>
      <color rgb="FFFFFFFF"/>
      <name val="TH SarabunPSK"/>
    </font>
    <font>
      <b/>
      <u/>
      <sz val="16.0"/>
      <color theme="1"/>
      <name val="TH SarabunPSK"/>
    </font>
    <font>
      <color rgb="FF000000"/>
      <name val="Arial"/>
      <scheme val="minor"/>
    </font>
    <font>
      <b/>
      <sz val="18.0"/>
      <color rgb="FFFF0000"/>
      <name val="TH SarabunPSK"/>
    </font>
    <font>
      <b/>
      <sz val="17.0"/>
      <color rgb="FF4F81BD"/>
      <name val="TH SarabunPSK"/>
    </font>
    <font>
      <sz val="17.0"/>
      <color rgb="FF000000"/>
      <name val="TH SarabunPSK"/>
    </font>
    <font>
      <color theme="1"/>
      <name val="Arial"/>
      <scheme val="minor"/>
    </font>
    <font>
      <b/>
      <sz val="16.0"/>
      <color rgb="FF980000"/>
      <name val="TH SarabunPSK"/>
    </font>
    <font>
      <sz val="16.0"/>
      <color rgb="FF980000"/>
      <name val="TH SarabunPSK"/>
    </font>
    <font>
      <b/>
      <sz val="17.0"/>
      <color rgb="FF980000"/>
      <name val="TH SarabunPSK"/>
    </font>
    <font>
      <sz val="17.0"/>
      <color rgb="FF980000"/>
      <name val="TH SarabunPSK"/>
    </font>
    <font>
      <sz val="17.0"/>
      <color theme="1"/>
      <name val="TH SarabunPSK"/>
    </font>
    <font>
      <b/>
      <sz val="16.0"/>
      <color rgb="FFFF0000"/>
      <name val="TH SarabunPSK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D3DFEE"/>
        <bgColor rgb="FFD3DFEE"/>
      </patternFill>
    </fill>
    <fill>
      <patternFill patternType="solid">
        <fgColor rgb="FFD9E2F3"/>
        <bgColor rgb="FFD9E2F3"/>
      </patternFill>
    </fill>
    <fill>
      <patternFill patternType="solid">
        <fgColor rgb="FF203864"/>
        <bgColor rgb="FF203864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1F4E78"/>
        <bgColor rgb="FF1F4E78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D0E0E3"/>
        <bgColor rgb="FFD0E0E3"/>
      </patternFill>
    </fill>
  </fills>
  <borders count="74">
    <border/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</border>
    <border>
      <left style="thin">
        <color rgb="FF003366"/>
      </left>
      <top style="thin">
        <color rgb="FF003366"/>
      </top>
      <bottom style="thin">
        <color rgb="FF003366"/>
      </bottom>
    </border>
    <border>
      <right style="thin">
        <color rgb="FF003366"/>
      </right>
      <top style="thin">
        <color rgb="FF003366"/>
      </top>
      <bottom style="thin">
        <color rgb="FF003366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  <right style="dotted">
        <color rgb="FF4A86E8"/>
      </right>
      <top style="dotted">
        <color rgb="FF4A86E8"/>
      </top>
      <bottom style="dotted">
        <color rgb="FF4A86E8"/>
      </bottom>
    </border>
    <border>
      <right style="thick">
        <color rgb="FF0000FF"/>
      </right>
    </border>
    <border>
      <left style="thick">
        <color rgb="FF0000FF"/>
      </left>
    </border>
    <border>
      <left style="dotted">
        <color rgb="FF0000FF"/>
      </left>
      <right style="thick">
        <color rgb="FF0000FF"/>
      </right>
      <top style="dotted">
        <color rgb="FF0000FF"/>
      </top>
      <bottom style="dotted">
        <color rgb="FF000000"/>
      </bottom>
    </border>
    <border>
      <left style="dotted">
        <color rgb="FF0000FF"/>
      </left>
      <right style="thick">
        <color rgb="FF0000FF"/>
      </right>
      <top style="dotted">
        <color rgb="FF000000"/>
      </top>
      <bottom style="dotted">
        <color rgb="FF0000FF"/>
      </bottom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3366"/>
      </left>
      <right style="thin">
        <color rgb="FF003366"/>
      </right>
      <top style="thin">
        <color rgb="FF003366"/>
      </top>
    </border>
    <border>
      <left style="thin">
        <color rgb="FF003366"/>
      </left>
      <top style="thin">
        <color rgb="FF003366"/>
      </top>
    </border>
    <border>
      <right style="thin">
        <color rgb="FF003366"/>
      </right>
      <top style="thin">
        <color rgb="FF003366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EA4335"/>
      </left>
      <right style="double">
        <color rgb="FFEA4335"/>
      </right>
      <top style="double">
        <color rgb="FFEA4335"/>
      </top>
      <bottom style="double">
        <color rgb="FFEA4335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A61C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medium">
        <color rgb="FFA61C00"/>
      </bottom>
    </border>
    <border>
      <bottom style="medium">
        <color rgb="FF980000"/>
      </bottom>
    </border>
    <border>
      <bottom style="double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2" fontId="7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8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horizontal="center" readingOrder="0" vertical="top"/>
    </xf>
    <xf borderId="0" fillId="5" fontId="11" numFmtId="0" xfId="0" applyAlignment="1" applyFill="1" applyFont="1">
      <alignment horizontal="center" readingOrder="0" vertical="top"/>
    </xf>
    <xf borderId="0" fillId="5" fontId="11" numFmtId="0" xfId="0" applyAlignment="1" applyFont="1">
      <alignment readingOrder="0" vertical="top"/>
    </xf>
    <xf borderId="0" fillId="0" fontId="12" numFmtId="0" xfId="0" applyAlignment="1" applyFont="1">
      <alignment horizontal="center" readingOrder="0" vertical="top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readingOrder="0"/>
    </xf>
    <xf borderId="0" fillId="0" fontId="12" numFmtId="0" xfId="0" applyFont="1"/>
    <xf borderId="0" fillId="0" fontId="9" numFmtId="0" xfId="0" applyAlignment="1" applyFont="1">
      <alignment readingOrder="0" shrinkToFit="0" wrapText="1"/>
    </xf>
    <xf borderId="1" fillId="6" fontId="11" numFmtId="0" xfId="0" applyAlignment="1" applyBorder="1" applyFill="1" applyFont="1">
      <alignment horizontal="center" readingOrder="0" vertical="top"/>
    </xf>
    <xf borderId="2" fillId="6" fontId="11" numFmtId="0" xfId="0" applyAlignment="1" applyBorder="1" applyFont="1">
      <alignment horizontal="center" readingOrder="0" vertical="top"/>
    </xf>
    <xf borderId="3" fillId="0" fontId="14" numFmtId="0" xfId="0" applyBorder="1" applyFont="1"/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 vertical="center"/>
    </xf>
    <xf borderId="2" fillId="0" fontId="16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readingOrder="0" vertical="center"/>
    </xf>
    <xf borderId="2" fillId="0" fontId="17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2" fillId="0" fontId="12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readingOrder="0" vertical="center"/>
    </xf>
    <xf borderId="2" fillId="0" fontId="18" numFmtId="0" xfId="0" applyAlignment="1" applyBorder="1" applyFont="1">
      <alignment readingOrder="0" shrinkToFit="0" vertical="center" wrapText="1"/>
    </xf>
    <xf borderId="0" fillId="0" fontId="19" numFmtId="0" xfId="0" applyFont="1"/>
    <xf borderId="0" fillId="7" fontId="10" numFmtId="0" xfId="0" applyAlignment="1" applyFill="1" applyFont="1">
      <alignment horizontal="center" readingOrder="0" vertical="top"/>
    </xf>
    <xf borderId="0" fillId="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wrapText="1"/>
    </xf>
    <xf borderId="0" fillId="8" fontId="20" numFmtId="0" xfId="0" applyAlignment="1" applyFill="1" applyFont="1">
      <alignment horizontal="center"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22" numFmtId="0" xfId="0" applyAlignment="1" applyFont="1">
      <alignment readingOrder="0" shrinkToFit="0" wrapText="1"/>
    </xf>
    <xf borderId="4" fillId="8" fontId="23" numFmtId="0" xfId="0" applyAlignment="1" applyBorder="1" applyFont="1">
      <alignment horizontal="left" readingOrder="0" shrinkToFit="0" vertical="center" wrapText="1"/>
    </xf>
    <xf borderId="5" fillId="0" fontId="14" numFmtId="0" xfId="0" applyBorder="1" applyFont="1"/>
    <xf borderId="6" fillId="0" fontId="14" numFmtId="0" xfId="0" applyBorder="1" applyFont="1"/>
    <xf borderId="4" fillId="8" fontId="21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7" fillId="3" fontId="24" numFmtId="0" xfId="0" applyAlignment="1" applyBorder="1" applyFont="1">
      <alignment horizontal="left" readingOrder="0" vertical="center"/>
    </xf>
    <xf borderId="8" fillId="3" fontId="24" numFmtId="0" xfId="0" applyAlignment="1" applyBorder="1" applyFont="1">
      <alignment horizontal="left" readingOrder="0" vertical="center"/>
    </xf>
    <xf borderId="9" fillId="3" fontId="24" numFmtId="0" xfId="0" applyAlignment="1" applyBorder="1" applyFont="1">
      <alignment horizontal="left" readingOrder="0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10" fillId="9" fontId="24" numFmtId="0" xfId="0" applyAlignment="1" applyBorder="1" applyFill="1" applyFont="1">
      <alignment horizontal="left" readingOrder="0" vertical="center"/>
    </xf>
    <xf borderId="0" fillId="3" fontId="24" numFmtId="0" xfId="0" applyAlignment="1" applyFont="1">
      <alignment horizontal="left" readingOrder="0" vertical="center"/>
    </xf>
    <xf borderId="11" fillId="3" fontId="24" numFmtId="0" xfId="0" applyAlignment="1" applyBorder="1" applyFont="1">
      <alignment horizontal="left" readingOrder="0" vertical="center"/>
    </xf>
    <xf borderId="12" fillId="3" fontId="24" numFmtId="0" xfId="0" applyAlignment="1" applyBorder="1" applyFont="1">
      <alignment horizontal="left" readingOrder="0" vertical="center"/>
    </xf>
    <xf borderId="12" fillId="3" fontId="1" numFmtId="0" xfId="0" applyAlignment="1" applyBorder="1" applyFont="1">
      <alignment shrinkToFit="0" wrapText="1"/>
    </xf>
    <xf borderId="0" fillId="3" fontId="24" numFmtId="0" xfId="0" applyAlignment="1" applyFont="1">
      <alignment horizontal="right" readingOrder="0" shrinkToFit="0" wrapText="1"/>
    </xf>
    <xf borderId="13" fillId="10" fontId="24" numFmtId="0" xfId="0" applyAlignment="1" applyBorder="1" applyFill="1" applyFont="1">
      <alignment horizontal="center" shrinkToFit="0" wrapText="1"/>
    </xf>
    <xf borderId="14" fillId="8" fontId="24" numFmtId="2" xfId="0" applyAlignment="1" applyBorder="1" applyFont="1" applyNumberFormat="1">
      <alignment horizontal="center" shrinkToFit="0" wrapText="1"/>
    </xf>
    <xf borderId="15" fillId="3" fontId="1" numFmtId="0" xfId="0" applyAlignment="1" applyBorder="1" applyFont="1">
      <alignment shrinkToFit="0" wrapText="1"/>
    </xf>
    <xf borderId="16" fillId="3" fontId="1" numFmtId="0" xfId="0" applyAlignment="1" applyBorder="1" applyFont="1">
      <alignment shrinkToFit="0" wrapText="1"/>
    </xf>
    <xf borderId="17" fillId="3" fontId="1" numFmtId="0" xfId="0" applyAlignment="1" applyBorder="1" applyFont="1">
      <alignment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8" fillId="11" fontId="6" numFmtId="0" xfId="0" applyAlignment="1" applyBorder="1" applyFill="1" applyFont="1">
      <alignment horizontal="center" readingOrder="0" shrinkToFit="0" vertical="center" wrapText="1"/>
    </xf>
    <xf borderId="19" fillId="11" fontId="6" numFmtId="0" xfId="0" applyAlignment="1" applyBorder="1" applyFont="1">
      <alignment horizontal="center" readingOrder="0" shrinkToFit="0" vertical="center" wrapText="1"/>
    </xf>
    <xf borderId="20" fillId="11" fontId="6" numFmtId="0" xfId="0" applyAlignment="1" applyBorder="1" applyFont="1">
      <alignment horizontal="center" readingOrder="0" shrinkToFit="0" vertical="center" wrapText="1"/>
    </xf>
    <xf borderId="21" fillId="11" fontId="6" numFmtId="0" xfId="0" applyAlignment="1" applyBorder="1" applyFont="1">
      <alignment horizontal="center" readingOrder="0" shrinkToFit="0" vertical="center" wrapText="1"/>
    </xf>
    <xf borderId="22" fillId="0" fontId="14" numFmtId="0" xfId="0" applyBorder="1" applyFont="1"/>
    <xf borderId="23" fillId="0" fontId="14" numFmtId="0" xfId="0" applyBorder="1" applyFont="1"/>
    <xf borderId="24" fillId="9" fontId="27" numFmtId="0" xfId="0" applyAlignment="1" applyBorder="1" applyFont="1">
      <alignment horizontal="center" readingOrder="0" shrinkToFit="0" vertical="center" wrapText="1"/>
    </xf>
    <xf borderId="25" fillId="0" fontId="14" numFmtId="0" xfId="0" applyBorder="1" applyFont="1"/>
    <xf borderId="26" fillId="0" fontId="14" numFmtId="0" xfId="0" applyBorder="1" applyFont="1"/>
    <xf borderId="27" fillId="0" fontId="14" numFmtId="0" xfId="0" applyBorder="1" applyFont="1"/>
    <xf borderId="28" fillId="0" fontId="14" numFmtId="0" xfId="0" applyBorder="1" applyFont="1"/>
    <xf borderId="29" fillId="0" fontId="14" numFmtId="0" xfId="0" applyBorder="1" applyFont="1"/>
    <xf borderId="30" fillId="11" fontId="6" numFmtId="0" xfId="0" applyAlignment="1" applyBorder="1" applyFont="1">
      <alignment horizontal="center" readingOrder="0" shrinkToFit="0" vertical="center" wrapText="1"/>
    </xf>
    <xf borderId="31" fillId="11" fontId="27" numFmtId="0" xfId="0" applyAlignment="1" applyBorder="1" applyFont="1">
      <alignment horizontal="center" readingOrder="0" vertical="center"/>
    </xf>
    <xf borderId="31" fillId="11" fontId="27" numFmtId="0" xfId="0" applyAlignment="1" applyBorder="1" applyFont="1">
      <alignment horizontal="center" readingOrder="0" shrinkToFit="0" vertical="center" wrapText="1"/>
    </xf>
    <xf borderId="32" fillId="11" fontId="6" numFmtId="0" xfId="0" applyAlignment="1" applyBorder="1" applyFont="1">
      <alignment horizontal="center" readingOrder="0" shrinkToFit="0" vertical="center" wrapText="1"/>
    </xf>
    <xf borderId="27" fillId="9" fontId="27" numFmtId="0" xfId="0" applyAlignment="1" applyBorder="1" applyFont="1">
      <alignment horizontal="center" readingOrder="0" shrinkToFit="0" vertical="center" wrapText="1"/>
    </xf>
    <xf borderId="28" fillId="9" fontId="6" numFmtId="0" xfId="0" applyAlignment="1" applyBorder="1" applyFont="1">
      <alignment horizontal="center" readingOrder="0" shrinkToFit="0" vertical="center" wrapText="1"/>
    </xf>
    <xf borderId="33" fillId="9" fontId="27" numFmtId="0" xfId="0" applyAlignment="1" applyBorder="1" applyFont="1">
      <alignment horizontal="center" readingOrder="0" vertical="center"/>
    </xf>
    <xf borderId="34" fillId="0" fontId="6" numFmtId="0" xfId="0" applyAlignment="1" applyBorder="1" applyFont="1">
      <alignment horizontal="left" readingOrder="0" shrinkToFit="0" vertical="top" wrapText="1"/>
    </xf>
    <xf borderId="28" fillId="0" fontId="5" numFmtId="0" xfId="0" applyAlignment="1" applyBorder="1" applyFont="1">
      <alignment readingOrder="0" shrinkToFit="0" vertical="top" wrapText="1"/>
    </xf>
    <xf borderId="35" fillId="0" fontId="22" numFmtId="0" xfId="0" applyAlignment="1" applyBorder="1" applyFont="1">
      <alignment readingOrder="0" shrinkToFit="0" vertical="top" wrapText="1"/>
    </xf>
    <xf borderId="36" fillId="0" fontId="22" numFmtId="0" xfId="0" applyAlignment="1" applyBorder="1" applyFont="1">
      <alignment readingOrder="0" shrinkToFit="0" vertical="top" wrapText="1"/>
    </xf>
    <xf borderId="37" fillId="0" fontId="1" numFmtId="0" xfId="0" applyBorder="1" applyFont="1"/>
    <xf borderId="35" fillId="0" fontId="1" numFmtId="0" xfId="0" applyBorder="1" applyFont="1"/>
    <xf borderId="35" fillId="0" fontId="1" numFmtId="0" xfId="0" applyAlignment="1" applyBorder="1" applyFont="1">
      <alignment horizontal="center" readingOrder="0" vertical="center"/>
    </xf>
    <xf borderId="38" fillId="12" fontId="1" numFmtId="0" xfId="0" applyAlignment="1" applyBorder="1" applyFill="1" applyFont="1">
      <alignment horizontal="center" vertical="center"/>
    </xf>
    <xf borderId="37" fillId="0" fontId="1" numFmtId="0" xfId="0" applyAlignment="1" applyBorder="1" applyFont="1">
      <alignment horizontal="center" readingOrder="0" vertical="center"/>
    </xf>
    <xf borderId="35" fillId="12" fontId="1" numFmtId="0" xfId="0" applyAlignment="1" applyBorder="1" applyFont="1">
      <alignment horizontal="center" vertical="center"/>
    </xf>
    <xf borderId="38" fillId="13" fontId="1" numFmtId="0" xfId="0" applyBorder="1" applyFill="1" applyFont="1"/>
    <xf borderId="34" fillId="0" fontId="1" numFmtId="0" xfId="0" applyBorder="1" applyFont="1"/>
    <xf borderId="35" fillId="0" fontId="5" numFmtId="0" xfId="0" applyAlignment="1" applyBorder="1" applyFont="1">
      <alignment readingOrder="0" shrinkToFit="0" vertical="top" wrapText="1"/>
    </xf>
    <xf borderId="37" fillId="0" fontId="22" numFmtId="0" xfId="0" applyBorder="1" applyFont="1"/>
    <xf borderId="35" fillId="0" fontId="22" numFmtId="0" xfId="0" applyBorder="1" applyFont="1"/>
    <xf borderId="34" fillId="0" fontId="28" numFmtId="0" xfId="0" applyAlignment="1" applyBorder="1" applyFont="1">
      <alignment horizontal="center" readingOrder="0" shrinkToFit="0" wrapText="1"/>
    </xf>
    <xf borderId="36" fillId="0" fontId="22" numFmtId="0" xfId="0" applyAlignment="1" applyBorder="1" applyFont="1">
      <alignment readingOrder="0" vertical="top"/>
    </xf>
    <xf borderId="34" fillId="0" fontId="22" numFmtId="0" xfId="0" applyAlignment="1" applyBorder="1" applyFont="1">
      <alignment shrinkToFit="0" wrapText="1"/>
    </xf>
    <xf borderId="34" fillId="0" fontId="5" numFmtId="0" xfId="0" applyAlignment="1" applyBorder="1" applyFont="1">
      <alignment shrinkToFit="0" wrapText="1"/>
    </xf>
    <xf borderId="39" fillId="0" fontId="1" numFmtId="0" xfId="0" applyBorder="1" applyFont="1"/>
    <xf borderId="40" fillId="0" fontId="5" numFmtId="0" xfId="0" applyAlignment="1" applyBorder="1" applyFont="1">
      <alignment readingOrder="0" shrinkToFit="0" vertical="top" wrapText="1"/>
    </xf>
    <xf borderId="40" fillId="0" fontId="22" numFmtId="0" xfId="0" applyAlignment="1" applyBorder="1" applyFont="1">
      <alignment readingOrder="0" shrinkToFit="0" vertical="top" wrapText="1"/>
    </xf>
    <xf borderId="41" fillId="0" fontId="22" numFmtId="0" xfId="0" applyAlignment="1" applyBorder="1" applyFont="1">
      <alignment readingOrder="0" shrinkToFit="0" vertical="top" wrapText="1"/>
    </xf>
    <xf borderId="42" fillId="0" fontId="1" numFmtId="0" xfId="0" applyBorder="1" applyFont="1"/>
    <xf borderId="40" fillId="0" fontId="1" numFmtId="0" xfId="0" applyBorder="1" applyFont="1"/>
    <xf borderId="40" fillId="0" fontId="1" numFmtId="0" xfId="0" applyAlignment="1" applyBorder="1" applyFont="1">
      <alignment horizontal="center" readingOrder="0" vertical="center"/>
    </xf>
    <xf borderId="43" fillId="12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readingOrder="0" vertical="center"/>
    </xf>
    <xf borderId="40" fillId="12" fontId="1" numFmtId="0" xfId="0" applyAlignment="1" applyBorder="1" applyFont="1">
      <alignment horizontal="center" vertical="center"/>
    </xf>
    <xf borderId="43" fillId="13" fontId="1" numFmtId="0" xfId="0" applyBorder="1" applyFont="1"/>
    <xf borderId="0" fillId="0" fontId="29" numFmtId="0" xfId="0" applyAlignment="1" applyFont="1">
      <alignment horizontal="right" readingOrder="0"/>
    </xf>
    <xf borderId="44" fillId="14" fontId="27" numFmtId="0" xfId="0" applyAlignment="1" applyBorder="1" applyFill="1" applyFont="1">
      <alignment horizontal="center" vertical="center"/>
    </xf>
    <xf borderId="0" fillId="15" fontId="4" numFmtId="0" xfId="0" applyAlignment="1" applyFill="1" applyFont="1">
      <alignment horizontal="center" readingOrder="0" shrinkToFit="0" wrapText="1"/>
    </xf>
    <xf borderId="0" fillId="2" fontId="23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2" numFmtId="0" xfId="0" applyAlignment="1" applyFont="1">
      <alignment shrinkToFit="0" wrapText="1"/>
    </xf>
    <xf borderId="0" fillId="0" fontId="22" numFmtId="0" xfId="0" applyFont="1"/>
    <xf borderId="0" fillId="3" fontId="6" numFmtId="0" xfId="0" applyAlignment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2" fillId="3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2" fillId="0" fontId="22" numFmtId="0" xfId="0" applyAlignment="1" applyBorder="1" applyFont="1">
      <alignment readingOrder="0" shrinkToFit="0" wrapText="1"/>
    </xf>
    <xf borderId="0" fillId="0" fontId="6" numFmtId="164" xfId="0" applyAlignment="1" applyFont="1" applyNumberFormat="1">
      <alignment horizontal="center" readingOrder="0" shrinkToFit="0" wrapText="1"/>
    </xf>
    <xf borderId="1" fillId="0" fontId="6" numFmtId="164" xfId="0" applyAlignment="1" applyBorder="1" applyFont="1" applyNumberFormat="1">
      <alignment horizontal="center" readingOrder="0" shrinkToFit="0" wrapText="1"/>
    </xf>
    <xf borderId="0" fillId="16" fontId="28" numFmtId="0" xfId="0" applyAlignment="1" applyFill="1" applyFont="1">
      <alignment horizontal="center" readingOrder="0" shrinkToFit="0" wrapText="1"/>
    </xf>
    <xf borderId="0" fillId="17" fontId="6" numFmtId="0" xfId="0" applyAlignment="1" applyFill="1" applyFont="1">
      <alignment horizontal="center" readingOrder="0" shrinkToFit="0" wrapText="1"/>
    </xf>
    <xf borderId="0" fillId="2" fontId="22" numFmtId="0" xfId="0" applyAlignment="1" applyFont="1">
      <alignment readingOrder="0" shrinkToFit="0" wrapText="1"/>
    </xf>
    <xf borderId="0" fillId="2" fontId="22" numFmtId="0" xfId="0" applyAlignment="1" applyFont="1">
      <alignment shrinkToFit="0" wrapText="1"/>
    </xf>
    <xf borderId="0" fillId="0" fontId="6" numFmtId="0" xfId="0" applyAlignment="1" applyFont="1">
      <alignment horizontal="right"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vertical="top" wrapText="1"/>
    </xf>
    <xf borderId="0" fillId="0" fontId="30" numFmtId="0" xfId="0" applyFont="1"/>
    <xf borderId="0" fillId="0" fontId="5" numFmtId="0" xfId="0" applyAlignment="1" applyFont="1">
      <alignment shrinkToFit="0" wrapText="1"/>
    </xf>
    <xf borderId="45" fillId="3" fontId="6" numFmtId="0" xfId="0" applyAlignment="1" applyBorder="1" applyFont="1">
      <alignment horizontal="center" readingOrder="0" shrinkToFit="0" wrapText="1"/>
    </xf>
    <xf borderId="46" fillId="3" fontId="6" numFmtId="0" xfId="0" applyAlignment="1" applyBorder="1" applyFont="1">
      <alignment horizontal="center" readingOrder="0" shrinkToFit="0" wrapText="1"/>
    </xf>
    <xf borderId="47" fillId="0" fontId="14" numFmtId="0" xfId="0" applyBorder="1" applyFont="1"/>
    <xf borderId="35" fillId="0" fontId="6" numFmtId="0" xfId="0" applyAlignment="1" applyBorder="1" applyFont="1">
      <alignment horizontal="center" readingOrder="0" shrinkToFit="0" wrapText="1"/>
    </xf>
    <xf borderId="36" fillId="0" fontId="22" numFmtId="0" xfId="0" applyAlignment="1" applyBorder="1" applyFont="1">
      <alignment readingOrder="0" shrinkToFit="0" wrapText="1"/>
    </xf>
    <xf borderId="48" fillId="0" fontId="14" numFmtId="0" xfId="0" applyBorder="1" applyFont="1"/>
    <xf borderId="36" fillId="0" fontId="22" numFmtId="0" xfId="0" applyAlignment="1" applyBorder="1" applyFont="1">
      <alignment readingOrder="0"/>
    </xf>
    <xf borderId="35" fillId="0" fontId="6" numFmtId="164" xfId="0" applyAlignment="1" applyBorder="1" applyFont="1" applyNumberFormat="1">
      <alignment horizontal="center" readingOrder="0" shrinkToFit="0" wrapText="1"/>
    </xf>
    <xf borderId="0" fillId="0" fontId="6" numFmtId="0" xfId="0" applyAlignment="1" applyFont="1">
      <alignment horizontal="right" readingOrder="0" shrinkToFit="0" vertical="top" wrapText="1"/>
    </xf>
    <xf borderId="35" fillId="3" fontId="6" numFmtId="0" xfId="0" applyAlignment="1" applyBorder="1" applyFont="1">
      <alignment horizontal="center" readingOrder="0" shrinkToFit="0" wrapText="1"/>
    </xf>
    <xf borderId="36" fillId="3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right" readingOrder="0" vertical="top"/>
    </xf>
    <xf borderId="0" fillId="18" fontId="1" numFmtId="0" xfId="0" applyAlignment="1" applyFill="1" applyFont="1">
      <alignment shrinkToFit="0" wrapText="1"/>
    </xf>
    <xf borderId="0" fillId="0" fontId="27" numFmtId="0" xfId="0" applyAlignment="1" applyFont="1">
      <alignment readingOrder="0" shrinkToFit="0" wrapText="1"/>
    </xf>
    <xf borderId="49" fillId="0" fontId="27" numFmtId="0" xfId="0" applyAlignment="1" applyBorder="1" applyFont="1">
      <alignment readingOrder="0" shrinkToFit="0" wrapText="1"/>
    </xf>
    <xf borderId="49" fillId="0" fontId="27" numFmtId="0" xfId="0" applyAlignment="1" applyBorder="1" applyFont="1">
      <alignment shrinkToFit="0" wrapText="1"/>
    </xf>
    <xf borderId="0" fillId="2" fontId="20" numFmtId="0" xfId="0" applyAlignment="1" applyFont="1">
      <alignment horizontal="center" readingOrder="0" shrinkToFit="0" vertical="center" wrapText="1"/>
    </xf>
    <xf borderId="4" fillId="2" fontId="23" numFmtId="0" xfId="0" applyAlignment="1" applyBorder="1" applyFont="1">
      <alignment horizontal="left" readingOrder="0" shrinkToFit="0" vertical="center" wrapText="1"/>
    </xf>
    <xf borderId="4" fillId="2" fontId="21" numFmtId="0" xfId="0" applyAlignment="1" applyBorder="1" applyFont="1">
      <alignment readingOrder="0" shrinkToFit="0" wrapText="1"/>
    </xf>
    <xf borderId="0" fillId="2" fontId="21" numFmtId="0" xfId="0" applyAlignment="1" applyFont="1">
      <alignment readingOrder="0" shrinkToFit="0" wrapText="1"/>
    </xf>
    <xf borderId="14" fillId="8" fontId="31" numFmtId="2" xfId="0" applyAlignment="1" applyBorder="1" applyFont="1" applyNumberFormat="1">
      <alignment horizontal="center" shrinkToFit="0" wrapText="1"/>
    </xf>
    <xf borderId="24" fillId="11" fontId="27" numFmtId="0" xfId="0" applyAlignment="1" applyBorder="1" applyFont="1">
      <alignment horizontal="center" readingOrder="0" vertical="center"/>
    </xf>
    <xf borderId="31" fillId="11" fontId="6" numFmtId="0" xfId="0" applyAlignment="1" applyBorder="1" applyFont="1">
      <alignment horizontal="center" readingOrder="0" shrinkToFit="0" vertical="center" wrapText="1"/>
    </xf>
    <xf borderId="50" fillId="11" fontId="6" numFmtId="0" xfId="0" applyAlignment="1" applyBorder="1" applyFont="1">
      <alignment horizontal="center" readingOrder="0" shrinkToFit="0" vertical="center" wrapText="1"/>
    </xf>
    <xf borderId="27" fillId="11" fontId="6" numFmtId="0" xfId="0" applyAlignment="1" applyBorder="1" applyFont="1">
      <alignment horizontal="center" readingOrder="0" shrinkToFit="0" vertical="center" wrapText="1"/>
    </xf>
    <xf borderId="28" fillId="11" fontId="27" numFmtId="0" xfId="0" applyAlignment="1" applyBorder="1" applyFont="1">
      <alignment horizontal="center" readingOrder="0" vertical="center"/>
    </xf>
    <xf borderId="28" fillId="11" fontId="27" numFmtId="0" xfId="0" applyAlignment="1" applyBorder="1" applyFont="1">
      <alignment horizontal="center" readingOrder="0" shrinkToFit="0" vertical="center" wrapText="1"/>
    </xf>
    <xf borderId="33" fillId="11" fontId="6" numFmtId="0" xfId="0" applyAlignment="1" applyBorder="1" applyFont="1">
      <alignment horizontal="center" readingOrder="0" shrinkToFit="0" vertical="center" wrapText="1"/>
    </xf>
    <xf borderId="51" fillId="11" fontId="27" numFmtId="0" xfId="0" applyAlignment="1" applyBorder="1" applyFont="1">
      <alignment horizontal="center" readingOrder="0" shrinkToFit="0" vertical="center" wrapText="1"/>
    </xf>
    <xf borderId="30" fillId="9" fontId="27" numFmtId="0" xfId="0" applyAlignment="1" applyBorder="1" applyFont="1">
      <alignment horizontal="center" readingOrder="0" shrinkToFit="0" vertical="center" wrapText="1"/>
    </xf>
    <xf borderId="19" fillId="9" fontId="6" numFmtId="0" xfId="0" applyAlignment="1" applyBorder="1" applyFont="1">
      <alignment horizontal="center" readingOrder="0" shrinkToFit="0" vertical="center" wrapText="1"/>
    </xf>
    <xf borderId="20" fillId="9" fontId="6" numFmtId="0" xfId="0" applyAlignment="1" applyBorder="1" applyFont="1">
      <alignment horizontal="center" readingOrder="0" shrinkToFit="0" vertical="center" wrapText="1"/>
    </xf>
    <xf borderId="52" fillId="9" fontId="27" numFmtId="0" xfId="0" applyAlignment="1" applyBorder="1" applyFont="1">
      <alignment horizontal="center" readingOrder="0" vertical="center"/>
    </xf>
    <xf borderId="28" fillId="0" fontId="32" numFmtId="0" xfId="0" applyAlignment="1" applyBorder="1" applyFont="1">
      <alignment readingOrder="0" shrinkToFit="0" vertical="top" wrapText="1"/>
    </xf>
    <xf borderId="35" fillId="0" fontId="33" numFmtId="0" xfId="0" applyAlignment="1" applyBorder="1" applyFont="1">
      <alignment readingOrder="0" shrinkToFit="0" vertical="top" wrapText="1"/>
    </xf>
    <xf borderId="36" fillId="0" fontId="33" numFmtId="0" xfId="0" applyAlignment="1" applyBorder="1" applyFont="1">
      <alignment readingOrder="0" shrinkToFit="0" vertical="top" wrapText="1"/>
    </xf>
    <xf borderId="38" fillId="0" fontId="1" numFmtId="0" xfId="0" applyBorder="1" applyFont="1"/>
    <xf borderId="35" fillId="0" fontId="32" numFmtId="0" xfId="0" applyAlignment="1" applyBorder="1" applyFont="1">
      <alignment readingOrder="0" shrinkToFit="0" vertical="top" wrapText="1"/>
    </xf>
    <xf borderId="36" fillId="0" fontId="33" numFmtId="0" xfId="0" applyAlignment="1" applyBorder="1" applyFont="1">
      <alignment readingOrder="0" vertical="top"/>
    </xf>
    <xf borderId="40" fillId="0" fontId="32" numFmtId="0" xfId="0" applyAlignment="1" applyBorder="1" applyFont="1">
      <alignment readingOrder="0" shrinkToFit="0" vertical="top" wrapText="1"/>
    </xf>
    <xf borderId="40" fillId="0" fontId="33" numFmtId="0" xfId="0" applyAlignment="1" applyBorder="1" applyFont="1">
      <alignment readingOrder="0" shrinkToFit="0" vertical="top" wrapText="1"/>
    </xf>
    <xf borderId="41" fillId="0" fontId="33" numFmtId="0" xfId="0" applyAlignment="1" applyBorder="1" applyFont="1">
      <alignment readingOrder="0" shrinkToFit="0" vertical="top" wrapText="1"/>
    </xf>
    <xf borderId="43" fillId="0" fontId="1" numFmtId="0" xfId="0" applyBorder="1" applyFont="1"/>
    <xf borderId="53" fillId="14" fontId="27" numFmtId="0" xfId="0" applyAlignment="1" applyBorder="1" applyFont="1">
      <alignment horizontal="center" vertical="center"/>
    </xf>
    <xf borderId="44" fillId="9" fontId="27" numFmtId="0" xfId="0" applyAlignment="1" applyBorder="1" applyFont="1">
      <alignment horizontal="center" vertical="center"/>
    </xf>
    <xf borderId="53" fillId="9" fontId="27" numFmtId="0" xfId="0" applyAlignment="1" applyBorder="1" applyFont="1">
      <alignment horizontal="center" vertical="center"/>
    </xf>
    <xf borderId="0" fillId="17" fontId="20" numFmtId="0" xfId="0" applyAlignment="1" applyFont="1">
      <alignment horizontal="center" readingOrder="0" shrinkToFit="0" vertical="center" wrapText="1"/>
    </xf>
    <xf borderId="0" fillId="0" fontId="1" numFmtId="2" xfId="0" applyFont="1" applyNumberFormat="1"/>
    <xf borderId="4" fillId="17" fontId="23" numFmtId="0" xfId="0" applyAlignment="1" applyBorder="1" applyFont="1">
      <alignment horizontal="left" readingOrder="0" shrinkToFit="0" vertical="center" wrapText="1"/>
    </xf>
    <xf borderId="4" fillId="17" fontId="21" numFmtId="0" xfId="0" applyAlignment="1" applyBorder="1" applyFont="1">
      <alignment readingOrder="0" shrinkToFit="0" wrapText="1"/>
    </xf>
    <xf borderId="0" fillId="0" fontId="26" numFmtId="2" xfId="0" applyAlignment="1" applyFont="1" applyNumberFormat="1">
      <alignment vertical="center"/>
    </xf>
    <xf borderId="13" fillId="10" fontId="24" numFmtId="1" xfId="0" applyAlignment="1" applyBorder="1" applyFont="1" applyNumberFormat="1">
      <alignment horizontal="center" shrinkToFit="0" wrapText="1"/>
    </xf>
    <xf borderId="0" fillId="0" fontId="1" numFmtId="2" xfId="0" applyAlignment="1" applyFont="1" applyNumberFormat="1">
      <alignment readingOrder="0"/>
    </xf>
    <xf borderId="32" fillId="11" fontId="6" numFmtId="2" xfId="0" applyAlignment="1" applyBorder="1" applyFont="1" applyNumberFormat="1">
      <alignment horizontal="center" readingOrder="0" shrinkToFit="0" vertical="center" wrapText="1"/>
    </xf>
    <xf borderId="31" fillId="9" fontId="6" numFmtId="0" xfId="0" applyAlignment="1" applyBorder="1" applyFont="1">
      <alignment horizontal="center" readingOrder="0" shrinkToFit="0" vertical="center" wrapText="1"/>
    </xf>
    <xf borderId="32" fillId="9" fontId="27" numFmtId="0" xfId="0" applyAlignment="1" applyBorder="1" applyFont="1">
      <alignment horizontal="center" readingOrder="0" vertical="center"/>
    </xf>
    <xf borderId="36" fillId="12" fontId="1" numFmtId="2" xfId="0" applyAlignment="1" applyBorder="1" applyFont="1" applyNumberFormat="1">
      <alignment horizontal="center" vertical="center"/>
    </xf>
    <xf borderId="35" fillId="12" fontId="1" numFmtId="2" xfId="0" applyAlignment="1" applyBorder="1" applyFont="1" applyNumberFormat="1">
      <alignment horizontal="center" vertical="center"/>
    </xf>
    <xf borderId="41" fillId="12" fontId="1" numFmtId="2" xfId="0" applyAlignment="1" applyBorder="1" applyFont="1" applyNumberFormat="1">
      <alignment horizontal="center" vertical="center"/>
    </xf>
    <xf borderId="40" fillId="12" fontId="1" numFmtId="2" xfId="0" applyAlignment="1" applyBorder="1" applyFont="1" applyNumberFormat="1">
      <alignment horizontal="center" vertical="center"/>
    </xf>
    <xf borderId="53" fillId="14" fontId="27" numFmtId="1" xfId="0" applyAlignment="1" applyBorder="1" applyFont="1" applyNumberFormat="1">
      <alignment horizontal="center" vertical="center"/>
    </xf>
    <xf borderId="44" fillId="14" fontId="27" numFmtId="1" xfId="0" applyAlignment="1" applyBorder="1" applyFont="1" applyNumberFormat="1">
      <alignment horizontal="center" vertical="center"/>
    </xf>
    <xf borderId="0" fillId="0" fontId="34" numFmtId="2" xfId="0" applyFont="1" applyNumberFormat="1"/>
    <xf borderId="0" fillId="19" fontId="20" numFmtId="0" xfId="0" applyAlignment="1" applyFill="1" applyFont="1">
      <alignment horizontal="center" readingOrder="0" shrinkToFit="0" vertical="center" wrapText="1"/>
    </xf>
    <xf borderId="4" fillId="19" fontId="23" numFmtId="0" xfId="0" applyAlignment="1" applyBorder="1" applyFont="1">
      <alignment horizontal="left" readingOrder="0" shrinkToFit="0" vertical="center" wrapText="1"/>
    </xf>
    <xf borderId="4" fillId="19" fontId="21" numFmtId="0" xfId="0" applyAlignment="1" applyBorder="1" applyFont="1">
      <alignment readingOrder="0" shrinkToFit="0" wrapText="1"/>
    </xf>
    <xf borderId="13" fillId="10" fontId="24" numFmtId="2" xfId="0" applyAlignment="1" applyBorder="1" applyFont="1" applyNumberFormat="1">
      <alignment horizontal="center" shrinkToFit="0" wrapText="1"/>
    </xf>
    <xf borderId="38" fillId="12" fontId="1" numFmtId="2" xfId="0" applyAlignment="1" applyBorder="1" applyFont="1" applyNumberFormat="1">
      <alignment horizontal="center" vertical="center"/>
    </xf>
    <xf borderId="43" fillId="12" fontId="1" numFmtId="2" xfId="0" applyAlignment="1" applyBorder="1" applyFont="1" applyNumberFormat="1">
      <alignment horizontal="center" vertical="center"/>
    </xf>
    <xf borderId="53" fillId="14" fontId="27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/>
    </xf>
    <xf borderId="35" fillId="20" fontId="28" numFmtId="0" xfId="0" applyAlignment="1" applyBorder="1" applyFill="1" applyFont="1">
      <alignment horizontal="center" readingOrder="0" vertical="top"/>
    </xf>
    <xf borderId="54" fillId="20" fontId="28" numFmtId="0" xfId="0" applyAlignment="1" applyBorder="1" applyFont="1">
      <alignment horizontal="center" readingOrder="0" vertical="top"/>
    </xf>
    <xf borderId="55" fillId="0" fontId="14" numFmtId="0" xfId="0" applyBorder="1" applyFont="1"/>
    <xf borderId="0" fillId="0" fontId="28" numFmtId="0" xfId="0" applyAlignment="1" applyFont="1">
      <alignment horizontal="center" readingOrder="0" vertical="top"/>
    </xf>
    <xf borderId="35" fillId="0" fontId="5" numFmtId="0" xfId="0" applyAlignment="1" applyBorder="1" applyFont="1">
      <alignment readingOrder="0" vertical="top"/>
    </xf>
    <xf borderId="36" fillId="0" fontId="5" numFmtId="0" xfId="0" applyAlignment="1" applyBorder="1" applyFont="1">
      <alignment horizontal="center" readingOrder="0" vertical="top"/>
    </xf>
    <xf borderId="56" fillId="21" fontId="5" numFmtId="0" xfId="0" applyAlignment="1" applyBorder="1" applyFill="1" applyFont="1">
      <alignment horizontal="center" readingOrder="0" vertical="top"/>
    </xf>
    <xf borderId="55" fillId="0" fontId="5" numFmtId="0" xfId="0" applyAlignment="1" applyBorder="1" applyFont="1">
      <alignment horizontal="left" readingOrder="0" vertical="top"/>
    </xf>
    <xf borderId="0" fillId="0" fontId="5" numFmtId="9" xfId="0" applyAlignment="1" applyFont="1" applyNumberFormat="1">
      <alignment horizontal="center" readingOrder="0" vertical="top"/>
    </xf>
    <xf borderId="0" fillId="0" fontId="5" numFmtId="0" xfId="0" applyAlignment="1" applyFont="1">
      <alignment horizontal="center" readingOrder="0" vertical="top"/>
    </xf>
    <xf borderId="57" fillId="0" fontId="5" numFmtId="0" xfId="0" applyAlignment="1" applyBorder="1" applyFont="1">
      <alignment horizontal="left" readingOrder="0" vertical="top"/>
    </xf>
    <xf borderId="56" fillId="21" fontId="5" numFmtId="1" xfId="0" applyAlignment="1" applyBorder="1" applyFont="1" applyNumberFormat="1">
      <alignment horizontal="center" readingOrder="0" vertical="top"/>
    </xf>
    <xf borderId="35" fillId="22" fontId="5" numFmtId="0" xfId="0" applyAlignment="1" applyBorder="1" applyFill="1" applyFont="1">
      <alignment readingOrder="0" vertical="top"/>
    </xf>
    <xf borderId="36" fillId="22" fontId="5" numFmtId="0" xfId="0" applyAlignment="1" applyBorder="1" applyFont="1">
      <alignment horizontal="center" readingOrder="0" vertical="top"/>
    </xf>
    <xf borderId="29" fillId="22" fontId="5" numFmtId="3" xfId="0" applyAlignment="1" applyBorder="1" applyFont="1" applyNumberFormat="1">
      <alignment horizontal="center" readingOrder="0" vertical="top"/>
    </xf>
    <xf borderId="48" fillId="22" fontId="5" numFmtId="0" xfId="0" applyAlignment="1" applyBorder="1" applyFont="1">
      <alignment horizontal="left" readingOrder="0" vertical="top"/>
    </xf>
    <xf borderId="36" fillId="20" fontId="28" numFmtId="0" xfId="0" applyAlignment="1" applyBorder="1" applyFont="1">
      <alignment horizontal="center" readingOrder="0" vertical="top"/>
    </xf>
    <xf borderId="58" fillId="0" fontId="14" numFmtId="0" xfId="0" applyBorder="1" applyFont="1"/>
    <xf borderId="35" fillId="0" fontId="5" numFmtId="0" xfId="0" applyAlignment="1" applyBorder="1" applyFont="1">
      <alignment horizontal="center" readingOrder="0" vertical="top"/>
    </xf>
    <xf borderId="36" fillId="0" fontId="5" numFmtId="0" xfId="0" applyAlignment="1" applyBorder="1" applyFont="1">
      <alignment readingOrder="0" shrinkToFit="0" vertical="top" wrapText="1"/>
    </xf>
    <xf borderId="0" fillId="10" fontId="35" numFmtId="0" xfId="0" applyAlignment="1" applyFont="1">
      <alignment horizontal="right" readingOrder="0" vertical="center"/>
    </xf>
    <xf borderId="59" fillId="21" fontId="35" numFmtId="3" xfId="0" applyAlignment="1" applyBorder="1" applyFont="1" applyNumberFormat="1">
      <alignment horizontal="center" vertical="center"/>
    </xf>
    <xf borderId="0" fillId="10" fontId="35" numFmtId="0" xfId="0" applyAlignment="1" applyFont="1">
      <alignment horizontal="left" readingOrder="0" vertical="center"/>
    </xf>
    <xf borderId="0" fillId="0" fontId="35" numFmtId="0" xfId="0" applyFont="1"/>
    <xf borderId="0" fillId="0" fontId="36" numFmtId="0" xfId="0" applyFont="1"/>
    <xf borderId="0" fillId="10" fontId="37" numFmtId="0" xfId="0" applyAlignment="1" applyFont="1">
      <alignment horizontal="right" readingOrder="0" vertical="center"/>
    </xf>
    <xf borderId="0" fillId="21" fontId="37" numFmtId="0" xfId="0" applyAlignment="1" applyFont="1">
      <alignment horizontal="center" vertical="center"/>
    </xf>
    <xf borderId="0" fillId="10" fontId="37" numFmtId="0" xfId="0" applyAlignment="1" applyFont="1">
      <alignment horizontal="center" readingOrder="0" vertical="center"/>
    </xf>
    <xf borderId="0" fillId="21" fontId="37" numFmtId="0" xfId="0" applyAlignment="1" applyFont="1">
      <alignment horizontal="left" shrinkToFit="0" vertical="center" wrapText="1"/>
    </xf>
    <xf borderId="0" fillId="0" fontId="38" numFmtId="0" xfId="0" applyAlignment="1" applyFont="1">
      <alignment horizontal="left" vertical="center"/>
    </xf>
    <xf borderId="0" fillId="0" fontId="39" numFmtId="0" xfId="0" applyFont="1"/>
    <xf borderId="59" fillId="0" fontId="14" numFmtId="0" xfId="0" applyBorder="1" applyFont="1"/>
    <xf borderId="60" fillId="0" fontId="14" numFmtId="0" xfId="0" applyBorder="1" applyFont="1"/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61" fillId="2" fontId="6" numFmtId="0" xfId="0" applyAlignment="1" applyBorder="1" applyFont="1">
      <alignment horizontal="left" readingOrder="0" vertical="center"/>
    </xf>
    <xf borderId="61" fillId="2" fontId="1" numFmtId="0" xfId="0" applyBorder="1" applyFont="1"/>
    <xf borderId="62" fillId="0" fontId="22" numFmtId="0" xfId="0" applyAlignment="1" applyBorder="1" applyFont="1">
      <alignment readingOrder="0" vertical="top"/>
    </xf>
    <xf borderId="62" fillId="0" fontId="14" numFmtId="0" xfId="0" applyBorder="1" applyFont="1"/>
    <xf borderId="61" fillId="2" fontId="6" numFmtId="0" xfId="0" applyAlignment="1" applyBorder="1" applyFont="1">
      <alignment readingOrder="0"/>
    </xf>
    <xf borderId="35" fillId="23" fontId="6" numFmtId="0" xfId="0" applyAlignment="1" applyBorder="1" applyFill="1" applyFont="1">
      <alignment horizontal="center" readingOrder="0" vertical="top"/>
    </xf>
    <xf borderId="35" fillId="0" fontId="6" numFmtId="0" xfId="0" applyAlignment="1" applyBorder="1" applyFont="1">
      <alignment readingOrder="0" vertical="top"/>
    </xf>
    <xf borderId="35" fillId="0" fontId="6" numFmtId="0" xfId="0" applyAlignment="1" applyBorder="1" applyFont="1">
      <alignment horizontal="center" readingOrder="0" vertical="top"/>
    </xf>
    <xf borderId="35" fillId="21" fontId="6" numFmtId="1" xfId="0" applyAlignment="1" applyBorder="1" applyFont="1" applyNumberFormat="1">
      <alignment horizontal="center" readingOrder="0" vertical="top"/>
    </xf>
    <xf borderId="35" fillId="21" fontId="6" numFmtId="2" xfId="0" applyAlignment="1" applyBorder="1" applyFont="1" applyNumberFormat="1">
      <alignment horizontal="center" vertical="top"/>
    </xf>
    <xf borderId="35" fillId="21" fontId="6" numFmtId="0" xfId="0" applyAlignment="1" applyBorder="1" applyFont="1">
      <alignment horizontal="center" vertical="top"/>
    </xf>
    <xf borderId="35" fillId="8" fontId="6" numFmtId="0" xfId="0" applyAlignment="1" applyBorder="1" applyFont="1">
      <alignment horizontal="center" readingOrder="0" vertical="top"/>
    </xf>
    <xf borderId="35" fillId="8" fontId="6" numFmtId="3" xfId="0" applyAlignment="1" applyBorder="1" applyFont="1" applyNumberFormat="1">
      <alignment horizontal="center" readingOrder="0" vertical="top"/>
    </xf>
    <xf borderId="35" fillId="8" fontId="6" numFmtId="3" xfId="0" applyAlignment="1" applyBorder="1" applyFont="1" applyNumberFormat="1">
      <alignment horizontal="center" vertical="top"/>
    </xf>
    <xf borderId="35" fillId="8" fontId="6" numFmtId="0" xfId="0" applyAlignment="1" applyBorder="1" applyFont="1">
      <alignment horizontal="center" vertical="top"/>
    </xf>
    <xf borderId="61" fillId="2" fontId="40" numFmtId="0" xfId="0" applyAlignment="1" applyBorder="1" applyFont="1">
      <alignment readingOrder="0"/>
    </xf>
    <xf borderId="63" fillId="21" fontId="6" numFmtId="0" xfId="0" applyAlignment="1" applyBorder="1" applyFont="1">
      <alignment horizontal="center" readingOrder="0" shrinkToFit="0" vertical="center" wrapText="1"/>
    </xf>
    <xf borderId="64" fillId="0" fontId="14" numFmtId="0" xfId="0" applyBorder="1" applyFont="1"/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65" fillId="23" fontId="27" numFmtId="0" xfId="0" applyAlignment="1" applyBorder="1" applyFont="1">
      <alignment horizontal="center" readingOrder="0" vertical="center"/>
    </xf>
    <xf borderId="66" fillId="23" fontId="6" numFmtId="0" xfId="0" applyBorder="1" applyFont="1"/>
    <xf borderId="67" fillId="23" fontId="6" numFmtId="0" xfId="0" applyBorder="1" applyFont="1"/>
    <xf borderId="0" fillId="0" fontId="6" numFmtId="0" xfId="0" applyAlignment="1" applyFont="1">
      <alignment horizontal="center" readingOrder="0" vertical="center"/>
    </xf>
    <xf borderId="68" fillId="0" fontId="14" numFmtId="0" xfId="0" applyBorder="1" applyFont="1"/>
    <xf borderId="0" fillId="0" fontId="27" numFmtId="0" xfId="0" applyAlignment="1" applyFont="1">
      <alignment readingOrder="0" vertical="top"/>
    </xf>
    <xf borderId="69" fillId="23" fontId="6" numFmtId="0" xfId="0" applyBorder="1" applyFont="1"/>
    <xf borderId="0" fillId="0" fontId="6" numFmtId="0" xfId="0" applyAlignment="1" applyFont="1">
      <alignment horizontal="center" vertical="center"/>
    </xf>
    <xf borderId="70" fillId="0" fontId="14" numFmtId="0" xfId="0" applyBorder="1" applyFont="1"/>
    <xf borderId="71" fillId="23" fontId="6" numFmtId="0" xfId="0" applyBorder="1" applyFont="1"/>
    <xf borderId="72" fillId="23" fontId="6" numFmtId="0" xfId="0" applyBorder="1" applyFont="1"/>
    <xf borderId="61" fillId="2" fontId="6" numFmtId="0" xfId="0" applyAlignment="1" applyBorder="1" applyFont="1">
      <alignment horizontal="center" readingOrder="0"/>
    </xf>
    <xf borderId="61" fillId="0" fontId="14" numFmtId="0" xfId="0" applyBorder="1" applyFont="1"/>
    <xf borderId="73" fillId="14" fontId="6" numFmtId="0" xfId="0" applyAlignment="1" applyBorder="1" applyFont="1">
      <alignment horizontal="center" readingOrder="0" vertical="top"/>
    </xf>
    <xf borderId="73" fillId="0" fontId="6" numFmtId="0" xfId="0" applyAlignment="1" applyBorder="1" applyFont="1">
      <alignment horizontal="center" readingOrder="0" vertical="top"/>
    </xf>
    <xf borderId="73" fillId="0" fontId="6" numFmtId="0" xfId="0" applyAlignment="1" applyBorder="1" applyFont="1">
      <alignment vertical="top"/>
    </xf>
    <xf borderId="62" fillId="0" fontId="2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 t="s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4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4" t="s">
        <v>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4" t="s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4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4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4" t="s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4" t="s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4" t="s">
        <v>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4" t="s">
        <v>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74.0"/>
  </cols>
  <sheetData>
    <row r="1">
      <c r="A1" s="6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9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 t="s">
        <v>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/>
      <c r="B11" s="12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/>
      <c r="B13" s="8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/>
      <c r="B15" s="8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">
        <v>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/>
      <c r="B17" s="8" t="s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/>
      <c r="B19" s="8" t="s">
        <v>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/>
      <c r="B22" s="13" t="s">
        <v>31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">
        <v>32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1"/>
      <c r="B24" s="9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B25" s="9" t="s">
        <v>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B26" s="9" t="s">
        <v>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B27" s="9" t="s">
        <v>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B28" s="9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1"/>
      <c r="B30" s="9" t="s">
        <v>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B31" s="13" t="s">
        <v>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1"/>
      <c r="B32" s="9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B33" s="9" t="s">
        <v>42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1"/>
      <c r="B34" s="9" t="s">
        <v>43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B35" s="9" t="s">
        <v>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B36" s="9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B37" s="9" t="s">
        <v>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B38" s="13" t="s">
        <v>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B39" s="9" t="s">
        <v>48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B40" s="9" t="s">
        <v>49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B41" s="9" t="s">
        <v>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B42" s="9" t="s">
        <v>51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B43" s="9" t="s">
        <v>52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B44" s="13" t="s">
        <v>53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1"/>
      <c r="B45" s="9" t="s">
        <v>54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B46" s="9" t="s">
        <v>55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1"/>
      <c r="B47" s="9" t="s">
        <v>56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B48" s="9" t="s">
        <v>57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B49" s="9" t="s">
        <v>58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1"/>
      <c r="B50" s="9" t="s">
        <v>59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B51" s="13" t="s">
        <v>60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1"/>
      <c r="B52" s="9" t="s">
        <v>61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B53" s="9" t="s">
        <v>62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1"/>
      <c r="B54" s="9" t="s">
        <v>63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B55" s="9" t="s">
        <v>64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B56" s="9" t="s">
        <v>65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</sheetData>
  <mergeCells count="4">
    <mergeCell ref="A1:B1"/>
    <mergeCell ref="A3:B3"/>
    <mergeCell ref="A10:B10"/>
    <mergeCell ref="A21:B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19.5"/>
    <col customWidth="1" min="4" max="4" width="19.88"/>
  </cols>
  <sheetData>
    <row r="1">
      <c r="A1" s="14" t="s">
        <v>66</v>
      </c>
    </row>
    <row r="2">
      <c r="A2" s="15" t="s">
        <v>67</v>
      </c>
    </row>
    <row r="3">
      <c r="A3" s="16" t="s">
        <v>68</v>
      </c>
      <c r="B3" s="16" t="s">
        <v>69</v>
      </c>
      <c r="C3" s="16" t="s">
        <v>70</v>
      </c>
      <c r="D3" s="16" t="s">
        <v>71</v>
      </c>
    </row>
    <row r="4">
      <c r="A4" s="17" t="s">
        <v>72</v>
      </c>
      <c r="B4" s="18" t="s">
        <v>73</v>
      </c>
      <c r="C4" s="17">
        <v>15.0</v>
      </c>
      <c r="D4" s="17">
        <v>300.0</v>
      </c>
    </row>
    <row r="5">
      <c r="A5" s="19" t="s">
        <v>74</v>
      </c>
      <c r="B5" s="20" t="s">
        <v>75</v>
      </c>
      <c r="C5" s="19">
        <v>15.0</v>
      </c>
      <c r="D5" s="19">
        <v>300.0</v>
      </c>
    </row>
    <row r="6">
      <c r="A6" s="17" t="s">
        <v>76</v>
      </c>
      <c r="B6" s="18" t="s">
        <v>77</v>
      </c>
      <c r="C6" s="17">
        <v>15.0</v>
      </c>
      <c r="D6" s="17">
        <v>200.0</v>
      </c>
    </row>
    <row r="7">
      <c r="A7" s="19" t="s">
        <v>78</v>
      </c>
      <c r="B7" s="20" t="s">
        <v>79</v>
      </c>
      <c r="C7" s="19">
        <v>15.0</v>
      </c>
      <c r="D7" s="19">
        <v>200.0</v>
      </c>
    </row>
    <row r="8">
      <c r="A8" s="21" t="s">
        <v>80</v>
      </c>
    </row>
    <row r="9">
      <c r="A9" s="22"/>
    </row>
    <row r="10">
      <c r="A10" s="15" t="s">
        <v>81</v>
      </c>
    </row>
    <row r="11">
      <c r="A11" s="23" t="s">
        <v>82</v>
      </c>
    </row>
    <row r="12">
      <c r="A12" s="24" t="s">
        <v>83</v>
      </c>
      <c r="B12" s="24" t="s">
        <v>84</v>
      </c>
      <c r="C12" s="25" t="s">
        <v>85</v>
      </c>
      <c r="D12" s="26"/>
    </row>
    <row r="13">
      <c r="A13" s="27">
        <v>0.0</v>
      </c>
      <c r="B13" s="28" t="s">
        <v>86</v>
      </c>
      <c r="C13" s="29" t="s">
        <v>87</v>
      </c>
      <c r="D13" s="26"/>
    </row>
    <row r="14">
      <c r="A14" s="30">
        <v>0.25</v>
      </c>
      <c r="B14" s="31" t="s">
        <v>88</v>
      </c>
      <c r="C14" s="32" t="s">
        <v>89</v>
      </c>
      <c r="D14" s="26"/>
    </row>
    <row r="15">
      <c r="A15" s="33">
        <v>0.5</v>
      </c>
      <c r="B15" s="34" t="s">
        <v>90</v>
      </c>
      <c r="C15" s="35" t="s">
        <v>91</v>
      </c>
      <c r="D15" s="26"/>
    </row>
    <row r="16">
      <c r="A16" s="36">
        <v>0.75</v>
      </c>
      <c r="B16" s="37" t="s">
        <v>92</v>
      </c>
      <c r="C16" s="38" t="s">
        <v>93</v>
      </c>
      <c r="D16" s="26"/>
    </row>
    <row r="17">
      <c r="A17" s="39">
        <v>1.0</v>
      </c>
      <c r="B17" s="40" t="s">
        <v>94</v>
      </c>
      <c r="C17" s="41" t="s">
        <v>95</v>
      </c>
      <c r="D17" s="26"/>
    </row>
    <row r="19">
      <c r="A19" s="15" t="s">
        <v>96</v>
      </c>
      <c r="B19" s="42"/>
      <c r="C19" s="42"/>
      <c r="D19" s="42"/>
    </row>
    <row r="20">
      <c r="A20" s="23" t="s">
        <v>97</v>
      </c>
    </row>
    <row r="21">
      <c r="A21" s="43" t="s">
        <v>98</v>
      </c>
      <c r="B21" s="43" t="s">
        <v>99</v>
      </c>
      <c r="C21" s="43" t="s">
        <v>100</v>
      </c>
      <c r="D21" s="43" t="s">
        <v>101</v>
      </c>
    </row>
    <row r="22">
      <c r="A22" s="17" t="s">
        <v>102</v>
      </c>
      <c r="B22" s="17" t="s">
        <v>103</v>
      </c>
      <c r="C22" s="44" t="s">
        <v>104</v>
      </c>
      <c r="D22" s="44" t="s">
        <v>105</v>
      </c>
    </row>
    <row r="23">
      <c r="A23" s="19" t="s">
        <v>106</v>
      </c>
      <c r="B23" s="19" t="s">
        <v>107</v>
      </c>
      <c r="C23" s="45" t="s">
        <v>108</v>
      </c>
      <c r="D23" s="45" t="s">
        <v>109</v>
      </c>
    </row>
    <row r="24">
      <c r="A24" s="17" t="s">
        <v>110</v>
      </c>
      <c r="B24" s="17" t="s">
        <v>111</v>
      </c>
      <c r="C24" s="44" t="s">
        <v>112</v>
      </c>
      <c r="D24" s="44" t="s">
        <v>113</v>
      </c>
    </row>
    <row r="25">
      <c r="A25" s="19" t="s">
        <v>114</v>
      </c>
      <c r="B25" s="19" t="s">
        <v>115</v>
      </c>
      <c r="C25" s="45" t="s">
        <v>116</v>
      </c>
      <c r="D25" s="45" t="s">
        <v>117</v>
      </c>
    </row>
    <row r="26">
      <c r="A26" s="17" t="s">
        <v>118</v>
      </c>
      <c r="B26" s="17" t="s">
        <v>119</v>
      </c>
      <c r="C26" s="44" t="s">
        <v>120</v>
      </c>
      <c r="D26" s="44" t="s">
        <v>121</v>
      </c>
    </row>
    <row r="27">
      <c r="A27" s="46" t="s">
        <v>122</v>
      </c>
    </row>
    <row r="29">
      <c r="A29" s="22"/>
    </row>
    <row r="30">
      <c r="A30" s="22"/>
    </row>
  </sheetData>
  <mergeCells count="10">
    <mergeCell ref="C17:D17"/>
    <mergeCell ref="A20:D20"/>
    <mergeCell ref="A27:D27"/>
    <mergeCell ref="A1:D1"/>
    <mergeCell ref="A11:D11"/>
    <mergeCell ref="C12:D12"/>
    <mergeCell ref="C13:D13"/>
    <mergeCell ref="C14:D14"/>
    <mergeCell ref="C15:D15"/>
    <mergeCell ref="C16:D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38"/>
    <col customWidth="1" min="3" max="3" width="34.63"/>
    <col customWidth="1" min="4" max="4" width="67.5"/>
    <col customWidth="1" min="5" max="5" width="14.38"/>
    <col customWidth="1" min="6" max="6" width="14.75"/>
    <col customWidth="1" min="7" max="7" width="12.25"/>
    <col customWidth="1" min="8" max="8" width="11.38"/>
    <col customWidth="1" min="9" max="9" width="15.88"/>
    <col customWidth="1" min="10" max="10" width="10.5"/>
    <col customWidth="1" min="11" max="11" width="20.25"/>
  </cols>
  <sheetData>
    <row r="1" ht="39.75" customHeight="1">
      <c r="A1" s="47" t="s">
        <v>123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B2" s="48"/>
      <c r="C2" s="48"/>
      <c r="D2" s="48"/>
      <c r="E2" s="1"/>
      <c r="F2" s="1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50"/>
      <c r="B3" s="50"/>
      <c r="C3" s="50"/>
      <c r="D3" s="1"/>
      <c r="E3" s="1"/>
      <c r="F3" s="1"/>
      <c r="G3" s="4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51" t="s">
        <v>124</v>
      </c>
      <c r="B4" s="52"/>
      <c r="C4" s="53"/>
      <c r="D4" s="54" t="s">
        <v>125</v>
      </c>
      <c r="E4" s="52"/>
      <c r="F4" s="52"/>
      <c r="G4" s="52"/>
      <c r="H4" s="52"/>
      <c r="I4" s="52"/>
      <c r="J4" s="52"/>
      <c r="K4" s="5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55"/>
      <c r="B5" s="56"/>
      <c r="C5" s="56"/>
      <c r="D5" s="1"/>
      <c r="E5" s="1"/>
      <c r="F5" s="1"/>
      <c r="G5" s="4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8.0" customHeight="1">
      <c r="A6" s="57"/>
      <c r="B6" s="58"/>
      <c r="C6" s="59"/>
      <c r="D6" s="60"/>
      <c r="E6" s="61"/>
      <c r="F6" s="61"/>
      <c r="G6" s="62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ht="28.5" customHeight="1">
      <c r="A7" s="63" t="s">
        <v>126</v>
      </c>
      <c r="B7" s="64"/>
      <c r="C7" s="65"/>
      <c r="D7" s="60"/>
      <c r="E7" s="61"/>
      <c r="F7" s="61"/>
      <c r="G7" s="62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ht="28.5" customHeight="1">
      <c r="A8" s="66" t="s">
        <v>127</v>
      </c>
      <c r="B8" s="64"/>
      <c r="C8" s="65"/>
      <c r="D8" s="60"/>
      <c r="E8" s="61"/>
      <c r="F8" s="61"/>
      <c r="G8" s="62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ht="28.5" customHeight="1">
      <c r="A9" s="67"/>
      <c r="B9" s="68" t="s">
        <v>128</v>
      </c>
      <c r="C9" s="69">
        <f>H31</f>
        <v>250</v>
      </c>
      <c r="D9" s="1"/>
      <c r="E9" s="1"/>
      <c r="F9" s="1"/>
      <c r="G9" s="4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28.5" customHeight="1">
      <c r="A10" s="67"/>
      <c r="B10" s="68" t="s">
        <v>129</v>
      </c>
      <c r="C10" s="70">
        <f>(C9/300)*100</f>
        <v>83.33333333</v>
      </c>
      <c r="D10" s="1"/>
      <c r="E10" s="1"/>
      <c r="F10" s="1"/>
      <c r="G10" s="4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71"/>
      <c r="B11" s="72"/>
      <c r="C11" s="73"/>
      <c r="D11" s="1"/>
      <c r="E11" s="1"/>
      <c r="F11" s="1"/>
      <c r="G11" s="4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56"/>
      <c r="B12" s="56"/>
      <c r="C12" s="56"/>
      <c r="D12" s="1"/>
      <c r="E12" s="1"/>
      <c r="F12" s="1"/>
      <c r="G12" s="4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74"/>
      <c r="B13" s="74"/>
      <c r="C13" s="74"/>
      <c r="D13" s="74"/>
      <c r="E13" s="74"/>
      <c r="F13" s="75"/>
      <c r="G13" s="76"/>
      <c r="H13" s="74"/>
      <c r="I13" s="75"/>
      <c r="J13" s="75"/>
      <c r="K13" s="7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</row>
    <row r="14">
      <c r="A14" s="78" t="s">
        <v>130</v>
      </c>
      <c r="B14" s="79" t="s">
        <v>131</v>
      </c>
      <c r="C14" s="79" t="s">
        <v>132</v>
      </c>
      <c r="D14" s="80" t="s">
        <v>133</v>
      </c>
      <c r="E14" s="81" t="s">
        <v>134</v>
      </c>
      <c r="F14" s="82"/>
      <c r="G14" s="82"/>
      <c r="H14" s="83"/>
      <c r="I14" s="84" t="s">
        <v>135</v>
      </c>
      <c r="J14" s="85"/>
      <c r="K14" s="86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</row>
    <row r="15">
      <c r="A15" s="87"/>
      <c r="B15" s="88"/>
      <c r="C15" s="88"/>
      <c r="D15" s="89"/>
      <c r="E15" s="90" t="s">
        <v>136</v>
      </c>
      <c r="F15" s="91" t="s">
        <v>137</v>
      </c>
      <c r="G15" s="92" t="s">
        <v>138</v>
      </c>
      <c r="H15" s="93" t="s">
        <v>139</v>
      </c>
      <c r="I15" s="94" t="s">
        <v>140</v>
      </c>
      <c r="J15" s="95" t="s">
        <v>139</v>
      </c>
      <c r="K15" s="96" t="s">
        <v>141</v>
      </c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</row>
    <row r="16">
      <c r="A16" s="97" t="s">
        <v>123</v>
      </c>
      <c r="B16" s="98" t="s">
        <v>142</v>
      </c>
      <c r="C16" s="99" t="s">
        <v>143</v>
      </c>
      <c r="D16" s="100" t="s">
        <v>144</v>
      </c>
      <c r="E16" s="101"/>
      <c r="F16" s="102"/>
      <c r="G16" s="103">
        <v>0.25</v>
      </c>
      <c r="H16" s="104">
        <f t="shared" ref="H16:H30" si="1">G16*20</f>
        <v>5</v>
      </c>
      <c r="I16" s="105">
        <v>0.5</v>
      </c>
      <c r="J16" s="106">
        <f t="shared" ref="J16:J30" si="2">I16*20</f>
        <v>10</v>
      </c>
      <c r="K16" s="10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08"/>
      <c r="B17" s="109" t="s">
        <v>145</v>
      </c>
      <c r="C17" s="99" t="s">
        <v>146</v>
      </c>
      <c r="D17" s="100" t="s">
        <v>147</v>
      </c>
      <c r="E17" s="101"/>
      <c r="F17" s="102"/>
      <c r="G17" s="103">
        <v>0.5</v>
      </c>
      <c r="H17" s="104">
        <f t="shared" si="1"/>
        <v>10</v>
      </c>
      <c r="I17" s="105">
        <v>1.0</v>
      </c>
      <c r="J17" s="106">
        <f t="shared" si="2"/>
        <v>20</v>
      </c>
      <c r="K17" s="10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08"/>
      <c r="B18" s="109" t="s">
        <v>148</v>
      </c>
      <c r="C18" s="99" t="s">
        <v>149</v>
      </c>
      <c r="D18" s="100" t="s">
        <v>150</v>
      </c>
      <c r="E18" s="110"/>
      <c r="F18" s="111"/>
      <c r="G18" s="103">
        <v>0.75</v>
      </c>
      <c r="H18" s="104">
        <f t="shared" si="1"/>
        <v>15</v>
      </c>
      <c r="I18" s="105">
        <v>1.0</v>
      </c>
      <c r="J18" s="106">
        <f t="shared" si="2"/>
        <v>20</v>
      </c>
      <c r="K18" s="10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12"/>
      <c r="B19" s="109" t="s">
        <v>151</v>
      </c>
      <c r="C19" s="99" t="s">
        <v>152</v>
      </c>
      <c r="D19" s="113" t="s">
        <v>153</v>
      </c>
      <c r="E19" s="110"/>
      <c r="F19" s="111"/>
      <c r="G19" s="103">
        <v>1.0</v>
      </c>
      <c r="H19" s="104">
        <f t="shared" si="1"/>
        <v>20</v>
      </c>
      <c r="I19" s="105">
        <v>1.0</v>
      </c>
      <c r="J19" s="106">
        <f t="shared" si="2"/>
        <v>20</v>
      </c>
      <c r="K19" s="10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14"/>
      <c r="B20" s="109" t="s">
        <v>154</v>
      </c>
      <c r="C20" s="99" t="s">
        <v>155</v>
      </c>
      <c r="D20" s="100" t="s">
        <v>156</v>
      </c>
      <c r="E20" s="110"/>
      <c r="F20" s="111"/>
      <c r="G20" s="103">
        <v>1.0</v>
      </c>
      <c r="H20" s="104">
        <f t="shared" si="1"/>
        <v>20</v>
      </c>
      <c r="I20" s="105">
        <v>1.0</v>
      </c>
      <c r="J20" s="106">
        <f t="shared" si="2"/>
        <v>20</v>
      </c>
      <c r="K20" s="10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08"/>
      <c r="B21" s="109" t="s">
        <v>157</v>
      </c>
      <c r="C21" s="99" t="s">
        <v>158</v>
      </c>
      <c r="D21" s="100" t="s">
        <v>159</v>
      </c>
      <c r="E21" s="101"/>
      <c r="F21" s="102"/>
      <c r="G21" s="103">
        <v>1.0</v>
      </c>
      <c r="H21" s="104">
        <f t="shared" si="1"/>
        <v>20</v>
      </c>
      <c r="I21" s="105">
        <v>1.0</v>
      </c>
      <c r="J21" s="106">
        <f t="shared" si="2"/>
        <v>20</v>
      </c>
      <c r="K21" s="10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15"/>
      <c r="B22" s="109" t="s">
        <v>160</v>
      </c>
      <c r="C22" s="99" t="s">
        <v>161</v>
      </c>
      <c r="D22" s="100" t="s">
        <v>162</v>
      </c>
      <c r="E22" s="101"/>
      <c r="F22" s="102"/>
      <c r="G22" s="103">
        <v>1.0</v>
      </c>
      <c r="H22" s="104">
        <f t="shared" si="1"/>
        <v>20</v>
      </c>
      <c r="I22" s="105">
        <v>1.0</v>
      </c>
      <c r="J22" s="106">
        <f t="shared" si="2"/>
        <v>20</v>
      </c>
      <c r="K22" s="10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15"/>
      <c r="B23" s="109" t="s">
        <v>163</v>
      </c>
      <c r="C23" s="99" t="s">
        <v>164</v>
      </c>
      <c r="D23" s="100" t="s">
        <v>165</v>
      </c>
      <c r="E23" s="101"/>
      <c r="F23" s="102"/>
      <c r="G23" s="103">
        <v>1.0</v>
      </c>
      <c r="H23" s="104">
        <f t="shared" si="1"/>
        <v>20</v>
      </c>
      <c r="I23" s="105">
        <v>1.0</v>
      </c>
      <c r="J23" s="106">
        <f t="shared" si="2"/>
        <v>20</v>
      </c>
      <c r="K23" s="10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08"/>
      <c r="B24" s="109" t="s">
        <v>166</v>
      </c>
      <c r="C24" s="99" t="s">
        <v>167</v>
      </c>
      <c r="D24" s="100" t="s">
        <v>168</v>
      </c>
      <c r="E24" s="101"/>
      <c r="F24" s="102"/>
      <c r="G24" s="103">
        <v>0.5</v>
      </c>
      <c r="H24" s="104">
        <f t="shared" si="1"/>
        <v>10</v>
      </c>
      <c r="I24" s="105">
        <v>1.0</v>
      </c>
      <c r="J24" s="106">
        <f t="shared" si="2"/>
        <v>20</v>
      </c>
      <c r="K24" s="10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08"/>
      <c r="B25" s="109" t="s">
        <v>169</v>
      </c>
      <c r="C25" s="99" t="s">
        <v>170</v>
      </c>
      <c r="D25" s="100" t="s">
        <v>168</v>
      </c>
      <c r="E25" s="101"/>
      <c r="F25" s="102"/>
      <c r="G25" s="103">
        <v>1.0</v>
      </c>
      <c r="H25" s="104">
        <f t="shared" si="1"/>
        <v>20</v>
      </c>
      <c r="I25" s="105">
        <v>1.0</v>
      </c>
      <c r="J25" s="106">
        <f t="shared" si="2"/>
        <v>20</v>
      </c>
      <c r="K25" s="10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08"/>
      <c r="B26" s="109" t="s">
        <v>171</v>
      </c>
      <c r="C26" s="99" t="s">
        <v>172</v>
      </c>
      <c r="D26" s="100" t="s">
        <v>162</v>
      </c>
      <c r="E26" s="101"/>
      <c r="F26" s="102"/>
      <c r="G26" s="103">
        <v>1.0</v>
      </c>
      <c r="H26" s="104">
        <f t="shared" si="1"/>
        <v>20</v>
      </c>
      <c r="I26" s="105">
        <v>1.0</v>
      </c>
      <c r="J26" s="106">
        <f t="shared" si="2"/>
        <v>20</v>
      </c>
      <c r="K26" s="10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08"/>
      <c r="B27" s="109" t="s">
        <v>173</v>
      </c>
      <c r="C27" s="99" t="s">
        <v>174</v>
      </c>
      <c r="D27" s="100" t="s">
        <v>168</v>
      </c>
      <c r="E27" s="101"/>
      <c r="F27" s="102"/>
      <c r="G27" s="103">
        <v>1.0</v>
      </c>
      <c r="H27" s="104">
        <f t="shared" si="1"/>
        <v>20</v>
      </c>
      <c r="I27" s="105">
        <v>1.0</v>
      </c>
      <c r="J27" s="106">
        <f t="shared" si="2"/>
        <v>20</v>
      </c>
      <c r="K27" s="10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08"/>
      <c r="B28" s="109" t="s">
        <v>175</v>
      </c>
      <c r="C28" s="99" t="s">
        <v>176</v>
      </c>
      <c r="D28" s="100" t="s">
        <v>168</v>
      </c>
      <c r="E28" s="101"/>
      <c r="F28" s="102"/>
      <c r="G28" s="103">
        <v>1.0</v>
      </c>
      <c r="H28" s="104">
        <f t="shared" si="1"/>
        <v>20</v>
      </c>
      <c r="I28" s="105">
        <v>1.0</v>
      </c>
      <c r="J28" s="106">
        <f t="shared" si="2"/>
        <v>20</v>
      </c>
      <c r="K28" s="10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08"/>
      <c r="B29" s="109" t="s">
        <v>177</v>
      </c>
      <c r="C29" s="99" t="s">
        <v>178</v>
      </c>
      <c r="D29" s="100" t="s">
        <v>168</v>
      </c>
      <c r="E29" s="101"/>
      <c r="F29" s="102"/>
      <c r="G29" s="103">
        <v>1.0</v>
      </c>
      <c r="H29" s="104">
        <f t="shared" si="1"/>
        <v>20</v>
      </c>
      <c r="I29" s="105">
        <v>1.0</v>
      </c>
      <c r="J29" s="106">
        <f t="shared" si="2"/>
        <v>20</v>
      </c>
      <c r="K29" s="10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16"/>
      <c r="B30" s="117" t="s">
        <v>179</v>
      </c>
      <c r="C30" s="118" t="s">
        <v>180</v>
      </c>
      <c r="D30" s="119" t="s">
        <v>168</v>
      </c>
      <c r="E30" s="120"/>
      <c r="F30" s="121"/>
      <c r="G30" s="122">
        <v>0.5</v>
      </c>
      <c r="H30" s="123">
        <f t="shared" si="1"/>
        <v>10</v>
      </c>
      <c r="I30" s="124">
        <v>1.0</v>
      </c>
      <c r="J30" s="125">
        <f t="shared" si="2"/>
        <v>20</v>
      </c>
      <c r="K30" s="12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56"/>
      <c r="B31" s="56"/>
      <c r="C31" s="56"/>
      <c r="D31" s="127" t="s">
        <v>181</v>
      </c>
      <c r="E31" s="1"/>
      <c r="F31" s="1"/>
      <c r="G31" s="128">
        <f t="shared" ref="G31:J31" si="3">SUM(G16:G30)</f>
        <v>12.5</v>
      </c>
      <c r="H31" s="128">
        <f t="shared" si="3"/>
        <v>250</v>
      </c>
      <c r="I31" s="128">
        <f t="shared" si="3"/>
        <v>14.5</v>
      </c>
      <c r="J31" s="128">
        <f t="shared" si="3"/>
        <v>290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9">
      <c r="A39" s="56"/>
      <c r="B39" s="56"/>
      <c r="C39" s="56"/>
      <c r="D39" s="1"/>
      <c r="E39" s="1"/>
      <c r="F39" s="1"/>
      <c r="G39" s="4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56"/>
      <c r="B40" s="56"/>
      <c r="C40" s="56"/>
      <c r="D40" s="1"/>
      <c r="E40" s="1"/>
      <c r="F40" s="1"/>
      <c r="G40" s="4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56"/>
      <c r="B41" s="56"/>
      <c r="C41" s="56"/>
      <c r="D41" s="1"/>
      <c r="E41" s="1"/>
      <c r="F41" s="1"/>
      <c r="G41" s="4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56"/>
      <c r="B42" s="56"/>
      <c r="C42" s="56"/>
      <c r="D42" s="1"/>
      <c r="E42" s="1"/>
      <c r="F42" s="1"/>
      <c r="G42" s="4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56"/>
      <c r="B43" s="56"/>
      <c r="C43" s="56"/>
      <c r="D43" s="1"/>
      <c r="E43" s="1"/>
      <c r="F43" s="1"/>
      <c r="G43" s="4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56"/>
      <c r="B44" s="56"/>
      <c r="C44" s="56"/>
      <c r="D44" s="1"/>
      <c r="E44" s="1"/>
      <c r="F44" s="1"/>
      <c r="G44" s="4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56"/>
      <c r="B45" s="56"/>
      <c r="C45" s="56"/>
      <c r="E45" s="1"/>
      <c r="F45" s="1"/>
      <c r="G45" s="4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56"/>
      <c r="B46" s="56"/>
      <c r="C46" s="56"/>
      <c r="D46" s="1"/>
      <c r="E46" s="1"/>
      <c r="F46" s="1"/>
      <c r="G46" s="4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56"/>
      <c r="B47" s="56"/>
      <c r="C47" s="56"/>
      <c r="D47" s="1"/>
      <c r="E47" s="1"/>
      <c r="F47" s="1"/>
      <c r="G47" s="4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56"/>
      <c r="B48" s="56"/>
      <c r="C48" s="56"/>
      <c r="D48" s="1"/>
      <c r="E48" s="1"/>
      <c r="F48" s="1"/>
      <c r="G48" s="4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56"/>
      <c r="B49" s="56"/>
      <c r="C49" s="56"/>
      <c r="D49" s="1"/>
      <c r="E49" s="1"/>
      <c r="F49" s="1"/>
      <c r="G49" s="4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56"/>
      <c r="B50" s="56"/>
      <c r="C50" s="56"/>
      <c r="D50" s="1"/>
      <c r="E50" s="1"/>
      <c r="F50" s="1"/>
      <c r="G50" s="4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56"/>
      <c r="B51" s="56"/>
      <c r="C51" s="56"/>
      <c r="D51" s="1"/>
      <c r="E51" s="1"/>
      <c r="F51" s="1"/>
      <c r="G51" s="4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56"/>
      <c r="B52" s="56"/>
      <c r="C52" s="56"/>
      <c r="D52" s="1"/>
      <c r="E52" s="1"/>
      <c r="F52" s="1"/>
      <c r="G52" s="4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56"/>
      <c r="B53" s="56"/>
      <c r="C53" s="56"/>
      <c r="D53" s="1"/>
      <c r="E53" s="1"/>
      <c r="F53" s="1"/>
      <c r="G53" s="4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56"/>
      <c r="B54" s="56"/>
      <c r="C54" s="56"/>
      <c r="D54" s="1"/>
      <c r="E54" s="1"/>
      <c r="F54" s="1"/>
      <c r="G54" s="4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56"/>
      <c r="B55" s="56"/>
      <c r="C55" s="56"/>
      <c r="D55" s="1"/>
      <c r="E55" s="1"/>
      <c r="F55" s="1"/>
      <c r="G55" s="4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56"/>
      <c r="B56" s="56"/>
      <c r="C56" s="56"/>
      <c r="D56" s="1"/>
      <c r="E56" s="1"/>
      <c r="F56" s="1"/>
      <c r="G56" s="4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56"/>
      <c r="B57" s="56"/>
      <c r="C57" s="56"/>
      <c r="D57" s="1"/>
      <c r="E57" s="1"/>
      <c r="F57" s="1"/>
      <c r="G57" s="4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56"/>
      <c r="B58" s="56"/>
      <c r="C58" s="56"/>
      <c r="D58" s="1"/>
      <c r="E58" s="1"/>
      <c r="F58" s="1"/>
      <c r="G58" s="4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56"/>
      <c r="B59" s="56"/>
      <c r="C59" s="56"/>
      <c r="D59" s="1"/>
      <c r="E59" s="1"/>
      <c r="F59" s="1"/>
      <c r="G59" s="4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56"/>
      <c r="B60" s="56"/>
      <c r="C60" s="56"/>
      <c r="D60" s="1"/>
      <c r="E60" s="1"/>
      <c r="F60" s="1"/>
      <c r="G60" s="4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56"/>
      <c r="B61" s="56"/>
      <c r="C61" s="56"/>
      <c r="D61" s="1"/>
      <c r="E61" s="1"/>
      <c r="F61" s="1"/>
      <c r="G61" s="4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56"/>
      <c r="B62" s="56"/>
      <c r="C62" s="56"/>
      <c r="D62" s="1"/>
      <c r="E62" s="1"/>
      <c r="F62" s="1"/>
      <c r="G62" s="4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56"/>
      <c r="B63" s="56"/>
      <c r="C63" s="56"/>
      <c r="D63" s="1"/>
      <c r="E63" s="1"/>
      <c r="F63" s="1"/>
      <c r="G63" s="4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56"/>
      <c r="B64" s="56"/>
      <c r="C64" s="56"/>
      <c r="D64" s="1"/>
      <c r="E64" s="1"/>
      <c r="F64" s="1"/>
      <c r="G64" s="4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56"/>
      <c r="B65" s="56"/>
      <c r="C65" s="56"/>
      <c r="D65" s="1"/>
      <c r="E65" s="1"/>
      <c r="F65" s="1"/>
      <c r="G65" s="4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56"/>
      <c r="B66" s="56"/>
      <c r="C66" s="56"/>
      <c r="D66" s="1"/>
      <c r="E66" s="1"/>
      <c r="F66" s="1"/>
      <c r="G66" s="4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56"/>
      <c r="B67" s="56"/>
      <c r="C67" s="56"/>
      <c r="D67" s="1"/>
      <c r="E67" s="1"/>
      <c r="F67" s="1"/>
      <c r="G67" s="4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56"/>
      <c r="B68" s="56"/>
      <c r="C68" s="56"/>
      <c r="D68" s="1"/>
      <c r="E68" s="1"/>
      <c r="F68" s="1"/>
      <c r="G68" s="4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56"/>
      <c r="B69" s="56"/>
      <c r="C69" s="56"/>
      <c r="D69" s="1"/>
      <c r="E69" s="1"/>
      <c r="F69" s="1"/>
      <c r="G69" s="4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56"/>
      <c r="B70" s="56"/>
      <c r="C70" s="56"/>
      <c r="D70" s="1"/>
      <c r="E70" s="1"/>
      <c r="F70" s="1"/>
      <c r="G70" s="4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56"/>
      <c r="B71" s="56"/>
      <c r="C71" s="56"/>
      <c r="D71" s="1"/>
      <c r="E71" s="1"/>
      <c r="F71" s="1"/>
      <c r="G71" s="4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56"/>
      <c r="B72" s="56"/>
      <c r="C72" s="56"/>
      <c r="D72" s="1"/>
      <c r="E72" s="1"/>
      <c r="F72" s="1"/>
      <c r="G72" s="4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56"/>
      <c r="B73" s="56"/>
      <c r="C73" s="56"/>
      <c r="D73" s="1"/>
      <c r="E73" s="1"/>
      <c r="F73" s="1"/>
      <c r="G73" s="4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56"/>
      <c r="B74" s="56"/>
      <c r="C74" s="56"/>
      <c r="D74" s="1"/>
      <c r="E74" s="1"/>
      <c r="F74" s="1"/>
      <c r="G74" s="4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56"/>
      <c r="B75" s="56"/>
      <c r="C75" s="56"/>
      <c r="D75" s="1"/>
      <c r="E75" s="1"/>
      <c r="F75" s="1"/>
      <c r="G75" s="4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56"/>
      <c r="B76" s="56"/>
      <c r="C76" s="56"/>
      <c r="D76" s="1"/>
      <c r="E76" s="1"/>
      <c r="F76" s="1"/>
      <c r="G76" s="4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56"/>
      <c r="B77" s="56"/>
      <c r="C77" s="56"/>
      <c r="D77" s="1"/>
      <c r="E77" s="1"/>
      <c r="F77" s="1"/>
      <c r="G77" s="4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56"/>
      <c r="B78" s="56"/>
      <c r="C78" s="56"/>
      <c r="D78" s="1"/>
      <c r="E78" s="1"/>
      <c r="F78" s="1"/>
      <c r="G78" s="4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56"/>
      <c r="B79" s="56"/>
      <c r="C79" s="56"/>
      <c r="D79" s="1"/>
      <c r="E79" s="1"/>
      <c r="F79" s="1"/>
      <c r="G79" s="4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56"/>
      <c r="B80" s="56"/>
      <c r="C80" s="56"/>
      <c r="D80" s="1"/>
      <c r="E80" s="1"/>
      <c r="F80" s="1"/>
      <c r="G80" s="4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56"/>
      <c r="B81" s="56"/>
      <c r="C81" s="56"/>
      <c r="D81" s="1"/>
      <c r="E81" s="1"/>
      <c r="F81" s="1"/>
      <c r="G81" s="4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56"/>
      <c r="B82" s="56"/>
      <c r="C82" s="56"/>
      <c r="D82" s="1"/>
      <c r="E82" s="1"/>
      <c r="F82" s="1"/>
      <c r="G82" s="4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56"/>
      <c r="B83" s="56"/>
      <c r="C83" s="56"/>
      <c r="D83" s="1"/>
      <c r="E83" s="1"/>
      <c r="F83" s="1"/>
      <c r="G83" s="4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56"/>
      <c r="B84" s="56"/>
      <c r="C84" s="56"/>
      <c r="D84" s="1"/>
      <c r="E84" s="1"/>
      <c r="F84" s="1"/>
      <c r="G84" s="4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56"/>
      <c r="B85" s="56"/>
      <c r="C85" s="56"/>
      <c r="D85" s="1"/>
      <c r="E85" s="1"/>
      <c r="F85" s="1"/>
      <c r="G85" s="4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56"/>
      <c r="B86" s="56"/>
      <c r="C86" s="56"/>
      <c r="D86" s="1"/>
      <c r="E86" s="1"/>
      <c r="F86" s="1"/>
      <c r="G86" s="4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56"/>
      <c r="B87" s="56"/>
      <c r="C87" s="56"/>
      <c r="D87" s="1"/>
      <c r="E87" s="1"/>
      <c r="F87" s="1"/>
      <c r="G87" s="4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56"/>
      <c r="B88" s="56"/>
      <c r="C88" s="56"/>
      <c r="D88" s="1"/>
      <c r="E88" s="1"/>
      <c r="F88" s="1"/>
      <c r="G88" s="4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56"/>
      <c r="B89" s="56"/>
      <c r="C89" s="56"/>
      <c r="D89" s="1"/>
      <c r="E89" s="1"/>
      <c r="F89" s="1"/>
      <c r="G89" s="4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56"/>
      <c r="B90" s="56"/>
      <c r="C90" s="56"/>
      <c r="D90" s="1"/>
      <c r="E90" s="1"/>
      <c r="F90" s="1"/>
      <c r="G90" s="4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56"/>
      <c r="B91" s="56"/>
      <c r="C91" s="56"/>
      <c r="D91" s="1"/>
      <c r="E91" s="1"/>
      <c r="F91" s="1"/>
      <c r="G91" s="4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56"/>
      <c r="B92" s="56"/>
      <c r="C92" s="56"/>
      <c r="D92" s="1"/>
      <c r="E92" s="1"/>
      <c r="F92" s="1"/>
      <c r="G92" s="4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56"/>
      <c r="B93" s="56"/>
      <c r="C93" s="56"/>
      <c r="D93" s="1"/>
      <c r="E93" s="1"/>
      <c r="F93" s="1"/>
      <c r="G93" s="4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56"/>
      <c r="B94" s="56"/>
      <c r="C94" s="56"/>
      <c r="D94" s="1"/>
      <c r="E94" s="1"/>
      <c r="F94" s="1"/>
      <c r="G94" s="4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56"/>
      <c r="B95" s="56"/>
      <c r="C95" s="56"/>
      <c r="D95" s="1"/>
      <c r="E95" s="1"/>
      <c r="F95" s="1"/>
      <c r="G95" s="4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56"/>
      <c r="B96" s="56"/>
      <c r="C96" s="56"/>
      <c r="D96" s="1"/>
      <c r="E96" s="1"/>
      <c r="F96" s="1"/>
      <c r="G96" s="4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56"/>
      <c r="B97" s="56"/>
      <c r="C97" s="56"/>
      <c r="D97" s="1"/>
      <c r="E97" s="1"/>
      <c r="F97" s="1"/>
      <c r="G97" s="4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56"/>
      <c r="B98" s="56"/>
      <c r="C98" s="56"/>
      <c r="D98" s="1"/>
      <c r="E98" s="1"/>
      <c r="F98" s="1"/>
      <c r="G98" s="4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56"/>
      <c r="B99" s="56"/>
      <c r="C99" s="56"/>
      <c r="D99" s="1"/>
      <c r="E99" s="1"/>
      <c r="F99" s="1"/>
      <c r="G99" s="4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56"/>
      <c r="B100" s="56"/>
      <c r="C100" s="56"/>
      <c r="D100" s="1"/>
      <c r="E100" s="1"/>
      <c r="F100" s="1"/>
      <c r="G100" s="4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56"/>
      <c r="B101" s="56"/>
      <c r="C101" s="56"/>
      <c r="D101" s="1"/>
      <c r="E101" s="1"/>
      <c r="F101" s="1"/>
      <c r="G101" s="4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56"/>
      <c r="B102" s="56"/>
      <c r="C102" s="56"/>
      <c r="D102" s="1"/>
      <c r="E102" s="1"/>
      <c r="F102" s="1"/>
      <c r="G102" s="4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56"/>
      <c r="B103" s="56"/>
      <c r="C103" s="56"/>
      <c r="D103" s="1"/>
      <c r="E103" s="1"/>
      <c r="F103" s="1"/>
      <c r="G103" s="4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56"/>
      <c r="B104" s="56"/>
      <c r="C104" s="56"/>
      <c r="D104" s="1"/>
      <c r="E104" s="1"/>
      <c r="F104" s="1"/>
      <c r="G104" s="4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56"/>
      <c r="B105" s="56"/>
      <c r="C105" s="56"/>
      <c r="D105" s="1"/>
      <c r="E105" s="1"/>
      <c r="F105" s="1"/>
      <c r="G105" s="4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56"/>
      <c r="B106" s="56"/>
      <c r="C106" s="56"/>
      <c r="D106" s="1"/>
      <c r="E106" s="1"/>
      <c r="F106" s="1"/>
      <c r="G106" s="4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56"/>
      <c r="B107" s="56"/>
      <c r="C107" s="56"/>
      <c r="D107" s="1"/>
      <c r="E107" s="1"/>
      <c r="F107" s="1"/>
      <c r="G107" s="4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56"/>
      <c r="B108" s="56"/>
      <c r="C108" s="56"/>
      <c r="D108" s="1"/>
      <c r="E108" s="1"/>
      <c r="F108" s="1"/>
      <c r="G108" s="4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56"/>
      <c r="B109" s="56"/>
      <c r="C109" s="56"/>
      <c r="D109" s="1"/>
      <c r="E109" s="1"/>
      <c r="F109" s="1"/>
      <c r="G109" s="4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56"/>
      <c r="B110" s="56"/>
      <c r="C110" s="56"/>
      <c r="D110" s="1"/>
      <c r="E110" s="1"/>
      <c r="F110" s="1"/>
      <c r="G110" s="4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56"/>
      <c r="B111" s="56"/>
      <c r="C111" s="56"/>
      <c r="D111" s="1"/>
      <c r="E111" s="1"/>
      <c r="F111" s="1"/>
      <c r="G111" s="4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56"/>
      <c r="B112" s="56"/>
      <c r="C112" s="56"/>
      <c r="D112" s="1"/>
      <c r="E112" s="1"/>
      <c r="F112" s="1"/>
      <c r="G112" s="4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56"/>
      <c r="B113" s="56"/>
      <c r="C113" s="56"/>
      <c r="D113" s="1"/>
      <c r="E113" s="1"/>
      <c r="F113" s="1"/>
      <c r="G113" s="4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56"/>
      <c r="B114" s="56"/>
      <c r="C114" s="56"/>
      <c r="D114" s="1"/>
      <c r="E114" s="1"/>
      <c r="F114" s="1"/>
      <c r="G114" s="4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56"/>
      <c r="B115" s="56"/>
      <c r="C115" s="56"/>
      <c r="D115" s="1"/>
      <c r="E115" s="1"/>
      <c r="F115" s="1"/>
      <c r="G115" s="4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56"/>
      <c r="B116" s="56"/>
      <c r="C116" s="56"/>
      <c r="D116" s="1"/>
      <c r="E116" s="1"/>
      <c r="F116" s="1"/>
      <c r="G116" s="4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56"/>
      <c r="B117" s="56"/>
      <c r="C117" s="56"/>
      <c r="D117" s="1"/>
      <c r="E117" s="1"/>
      <c r="F117" s="1"/>
      <c r="G117" s="4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56"/>
      <c r="B118" s="56"/>
      <c r="C118" s="56"/>
      <c r="D118" s="1"/>
      <c r="E118" s="1"/>
      <c r="F118" s="1"/>
      <c r="G118" s="4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56"/>
      <c r="B119" s="56"/>
      <c r="C119" s="56"/>
      <c r="D119" s="1"/>
      <c r="E119" s="1"/>
      <c r="F119" s="1"/>
      <c r="G119" s="4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56"/>
      <c r="B120" s="56"/>
      <c r="C120" s="56"/>
      <c r="D120" s="1"/>
      <c r="E120" s="1"/>
      <c r="F120" s="1"/>
      <c r="G120" s="4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56"/>
      <c r="B121" s="56"/>
      <c r="C121" s="56"/>
      <c r="D121" s="1"/>
      <c r="E121" s="1"/>
      <c r="F121" s="1"/>
      <c r="G121" s="4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56"/>
      <c r="B122" s="56"/>
      <c r="C122" s="56"/>
      <c r="D122" s="1"/>
      <c r="E122" s="1"/>
      <c r="F122" s="1"/>
      <c r="G122" s="4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56"/>
      <c r="B123" s="56"/>
      <c r="C123" s="56"/>
      <c r="D123" s="1"/>
      <c r="E123" s="1"/>
      <c r="F123" s="1"/>
      <c r="G123" s="4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56"/>
      <c r="B124" s="56"/>
      <c r="C124" s="56"/>
      <c r="D124" s="1"/>
      <c r="E124" s="1"/>
      <c r="F124" s="1"/>
      <c r="G124" s="4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56"/>
      <c r="B125" s="56"/>
      <c r="C125" s="56"/>
      <c r="D125" s="1"/>
      <c r="E125" s="1"/>
      <c r="F125" s="1"/>
      <c r="G125" s="4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56"/>
      <c r="B126" s="56"/>
      <c r="C126" s="56"/>
      <c r="D126" s="1"/>
      <c r="E126" s="1"/>
      <c r="F126" s="1"/>
      <c r="G126" s="4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56"/>
      <c r="B127" s="56"/>
      <c r="C127" s="56"/>
      <c r="D127" s="1"/>
      <c r="E127" s="1"/>
      <c r="F127" s="1"/>
      <c r="G127" s="4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56"/>
      <c r="B128" s="56"/>
      <c r="C128" s="56"/>
      <c r="D128" s="1"/>
      <c r="E128" s="1"/>
      <c r="F128" s="1"/>
      <c r="G128" s="4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56"/>
      <c r="B129" s="56"/>
      <c r="C129" s="56"/>
      <c r="D129" s="1"/>
      <c r="E129" s="1"/>
      <c r="F129" s="1"/>
      <c r="G129" s="4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56"/>
      <c r="B130" s="56"/>
      <c r="C130" s="56"/>
      <c r="D130" s="1"/>
      <c r="E130" s="1"/>
      <c r="F130" s="1"/>
      <c r="G130" s="4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56"/>
      <c r="B131" s="56"/>
      <c r="C131" s="56"/>
      <c r="D131" s="1"/>
      <c r="E131" s="1"/>
      <c r="F131" s="1"/>
      <c r="G131" s="4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56"/>
      <c r="B132" s="56"/>
      <c r="C132" s="56"/>
      <c r="D132" s="1"/>
      <c r="E132" s="1"/>
      <c r="F132" s="1"/>
      <c r="G132" s="4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56"/>
      <c r="B133" s="56"/>
      <c r="C133" s="56"/>
      <c r="D133" s="1"/>
      <c r="E133" s="1"/>
      <c r="F133" s="1"/>
      <c r="G133" s="4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56"/>
      <c r="B134" s="56"/>
      <c r="C134" s="56"/>
      <c r="D134" s="1"/>
      <c r="E134" s="1"/>
      <c r="F134" s="1"/>
      <c r="G134" s="4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56"/>
      <c r="B135" s="56"/>
      <c r="C135" s="56"/>
      <c r="D135" s="1"/>
      <c r="E135" s="1"/>
      <c r="F135" s="1"/>
      <c r="G135" s="4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56"/>
      <c r="B136" s="56"/>
      <c r="C136" s="56"/>
      <c r="D136" s="1"/>
      <c r="E136" s="1"/>
      <c r="F136" s="1"/>
      <c r="G136" s="4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56"/>
      <c r="B137" s="56"/>
      <c r="C137" s="56"/>
      <c r="D137" s="1"/>
      <c r="E137" s="1"/>
      <c r="F137" s="1"/>
      <c r="G137" s="4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56"/>
      <c r="B138" s="56"/>
      <c r="C138" s="56"/>
      <c r="D138" s="1"/>
      <c r="E138" s="1"/>
      <c r="F138" s="1"/>
      <c r="G138" s="4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56"/>
      <c r="B139" s="56"/>
      <c r="C139" s="56"/>
      <c r="D139" s="1"/>
      <c r="E139" s="1"/>
      <c r="F139" s="1"/>
      <c r="G139" s="4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56"/>
      <c r="B140" s="56"/>
      <c r="C140" s="56"/>
      <c r="D140" s="1"/>
      <c r="E140" s="1"/>
      <c r="F140" s="1"/>
      <c r="G140" s="4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56"/>
      <c r="B141" s="56"/>
      <c r="C141" s="56"/>
      <c r="D141" s="1"/>
      <c r="E141" s="1"/>
      <c r="F141" s="1"/>
      <c r="G141" s="4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56"/>
      <c r="B142" s="56"/>
      <c r="C142" s="56"/>
      <c r="D142" s="1"/>
      <c r="E142" s="1"/>
      <c r="F142" s="1"/>
      <c r="G142" s="4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56"/>
      <c r="B143" s="56"/>
      <c r="C143" s="56"/>
      <c r="D143" s="1"/>
      <c r="E143" s="1"/>
      <c r="F143" s="1"/>
      <c r="G143" s="4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56"/>
      <c r="B144" s="56"/>
      <c r="C144" s="56"/>
      <c r="D144" s="1"/>
      <c r="E144" s="1"/>
      <c r="F144" s="1"/>
      <c r="G144" s="4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56"/>
      <c r="B145" s="56"/>
      <c r="C145" s="56"/>
      <c r="D145" s="1"/>
      <c r="E145" s="1"/>
      <c r="F145" s="1"/>
      <c r="G145" s="4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56"/>
      <c r="B146" s="56"/>
      <c r="C146" s="56"/>
      <c r="D146" s="1"/>
      <c r="E146" s="1"/>
      <c r="F146" s="1"/>
      <c r="G146" s="4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56"/>
      <c r="B147" s="56"/>
      <c r="C147" s="56"/>
      <c r="D147" s="1"/>
      <c r="E147" s="1"/>
      <c r="F147" s="1"/>
      <c r="G147" s="4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56"/>
      <c r="B148" s="56"/>
      <c r="C148" s="56"/>
      <c r="D148" s="1"/>
      <c r="E148" s="1"/>
      <c r="F148" s="1"/>
      <c r="G148" s="4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56"/>
      <c r="B149" s="56"/>
      <c r="C149" s="56"/>
      <c r="D149" s="1"/>
      <c r="E149" s="1"/>
      <c r="F149" s="1"/>
      <c r="G149" s="4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56"/>
      <c r="B150" s="56"/>
      <c r="C150" s="56"/>
      <c r="D150" s="1"/>
      <c r="E150" s="1"/>
      <c r="F150" s="1"/>
      <c r="G150" s="4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56"/>
      <c r="B151" s="56"/>
      <c r="C151" s="56"/>
      <c r="D151" s="1"/>
      <c r="E151" s="1"/>
      <c r="F151" s="1"/>
      <c r="G151" s="4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56"/>
      <c r="B152" s="56"/>
      <c r="C152" s="56"/>
      <c r="D152" s="1"/>
      <c r="E152" s="1"/>
      <c r="F152" s="1"/>
      <c r="G152" s="4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56"/>
      <c r="B153" s="56"/>
      <c r="C153" s="56"/>
      <c r="D153" s="1"/>
      <c r="E153" s="1"/>
      <c r="F153" s="1"/>
      <c r="G153" s="4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56"/>
      <c r="B154" s="56"/>
      <c r="C154" s="56"/>
      <c r="D154" s="1"/>
      <c r="E154" s="1"/>
      <c r="F154" s="1"/>
      <c r="G154" s="4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56"/>
      <c r="B155" s="56"/>
      <c r="C155" s="56"/>
      <c r="D155" s="1"/>
      <c r="E155" s="1"/>
      <c r="F155" s="1"/>
      <c r="G155" s="4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56"/>
      <c r="B156" s="56"/>
      <c r="C156" s="56"/>
      <c r="D156" s="1"/>
      <c r="E156" s="1"/>
      <c r="F156" s="1"/>
      <c r="G156" s="4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56"/>
      <c r="B157" s="56"/>
      <c r="C157" s="56"/>
      <c r="D157" s="1"/>
      <c r="E157" s="1"/>
      <c r="F157" s="1"/>
      <c r="G157" s="4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56"/>
      <c r="B158" s="56"/>
      <c r="C158" s="56"/>
      <c r="D158" s="1"/>
      <c r="E158" s="1"/>
      <c r="F158" s="1"/>
      <c r="G158" s="4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56"/>
      <c r="B159" s="56"/>
      <c r="C159" s="56"/>
      <c r="D159" s="1"/>
      <c r="E159" s="1"/>
      <c r="F159" s="1"/>
      <c r="G159" s="4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56"/>
      <c r="B160" s="56"/>
      <c r="C160" s="56"/>
      <c r="D160" s="1"/>
      <c r="E160" s="1"/>
      <c r="F160" s="1"/>
      <c r="G160" s="4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56"/>
      <c r="B161" s="56"/>
      <c r="C161" s="56"/>
      <c r="D161" s="1"/>
      <c r="E161" s="1"/>
      <c r="F161" s="1"/>
      <c r="G161" s="4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56"/>
      <c r="B162" s="56"/>
      <c r="C162" s="56"/>
      <c r="D162" s="1"/>
      <c r="E162" s="1"/>
      <c r="F162" s="1"/>
      <c r="G162" s="4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56"/>
      <c r="B163" s="56"/>
      <c r="C163" s="56"/>
      <c r="D163" s="1"/>
      <c r="E163" s="1"/>
      <c r="F163" s="1"/>
      <c r="G163" s="4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56"/>
      <c r="B164" s="56"/>
      <c r="C164" s="56"/>
      <c r="D164" s="1"/>
      <c r="E164" s="1"/>
      <c r="F164" s="1"/>
      <c r="G164" s="4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56"/>
      <c r="B165" s="56"/>
      <c r="C165" s="56"/>
      <c r="D165" s="1"/>
      <c r="E165" s="1"/>
      <c r="F165" s="1"/>
      <c r="G165" s="4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56"/>
      <c r="B166" s="56"/>
      <c r="C166" s="56"/>
      <c r="D166" s="1"/>
      <c r="E166" s="1"/>
      <c r="F166" s="1"/>
      <c r="G166" s="4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56"/>
      <c r="B167" s="56"/>
      <c r="C167" s="56"/>
      <c r="D167" s="1"/>
      <c r="E167" s="1"/>
      <c r="F167" s="1"/>
      <c r="G167" s="4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56"/>
      <c r="B168" s="56"/>
      <c r="C168" s="56"/>
      <c r="D168" s="1"/>
      <c r="E168" s="1"/>
      <c r="F168" s="1"/>
      <c r="G168" s="4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56"/>
      <c r="B169" s="56"/>
      <c r="C169" s="56"/>
      <c r="D169" s="1"/>
      <c r="E169" s="1"/>
      <c r="F169" s="1"/>
      <c r="G169" s="4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56"/>
      <c r="B170" s="56"/>
      <c r="C170" s="56"/>
      <c r="D170" s="1"/>
      <c r="E170" s="1"/>
      <c r="F170" s="1"/>
      <c r="G170" s="4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56"/>
      <c r="B171" s="56"/>
      <c r="C171" s="56"/>
      <c r="D171" s="1"/>
      <c r="E171" s="1"/>
      <c r="F171" s="1"/>
      <c r="G171" s="4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56"/>
      <c r="B172" s="56"/>
      <c r="C172" s="56"/>
      <c r="D172" s="1"/>
      <c r="E172" s="1"/>
      <c r="F172" s="1"/>
      <c r="G172" s="4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56"/>
      <c r="B173" s="56"/>
      <c r="C173" s="56"/>
      <c r="D173" s="1"/>
      <c r="E173" s="1"/>
      <c r="F173" s="1"/>
      <c r="G173" s="4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56"/>
      <c r="B174" s="56"/>
      <c r="C174" s="56"/>
      <c r="D174" s="1"/>
      <c r="E174" s="1"/>
      <c r="F174" s="1"/>
      <c r="G174" s="4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56"/>
      <c r="B175" s="56"/>
      <c r="C175" s="56"/>
      <c r="D175" s="1"/>
      <c r="E175" s="1"/>
      <c r="F175" s="1"/>
      <c r="G175" s="4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56"/>
      <c r="B176" s="56"/>
      <c r="C176" s="56"/>
      <c r="D176" s="1"/>
      <c r="E176" s="1"/>
      <c r="F176" s="1"/>
      <c r="G176" s="4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56"/>
      <c r="B177" s="56"/>
      <c r="C177" s="56"/>
      <c r="D177" s="1"/>
      <c r="E177" s="1"/>
      <c r="F177" s="1"/>
      <c r="G177" s="4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56"/>
      <c r="B178" s="56"/>
      <c r="C178" s="56"/>
      <c r="D178" s="1"/>
      <c r="E178" s="1"/>
      <c r="F178" s="1"/>
      <c r="G178" s="4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56"/>
      <c r="B179" s="56"/>
      <c r="C179" s="56"/>
      <c r="D179" s="1"/>
      <c r="E179" s="1"/>
      <c r="F179" s="1"/>
      <c r="G179" s="4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56"/>
      <c r="B180" s="56"/>
      <c r="C180" s="56"/>
      <c r="D180" s="1"/>
      <c r="E180" s="1"/>
      <c r="F180" s="1"/>
      <c r="G180" s="4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56"/>
      <c r="B181" s="56"/>
      <c r="C181" s="56"/>
      <c r="D181" s="1"/>
      <c r="E181" s="1"/>
      <c r="F181" s="1"/>
      <c r="G181" s="4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56"/>
      <c r="B182" s="56"/>
      <c r="C182" s="56"/>
      <c r="D182" s="1"/>
      <c r="E182" s="1"/>
      <c r="F182" s="1"/>
      <c r="G182" s="4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56"/>
      <c r="B183" s="56"/>
      <c r="C183" s="56"/>
      <c r="D183" s="1"/>
      <c r="E183" s="1"/>
      <c r="F183" s="1"/>
      <c r="G183" s="4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56"/>
      <c r="B184" s="56"/>
      <c r="C184" s="56"/>
      <c r="D184" s="1"/>
      <c r="E184" s="1"/>
      <c r="F184" s="1"/>
      <c r="G184" s="4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56"/>
      <c r="B185" s="56"/>
      <c r="C185" s="56"/>
      <c r="D185" s="1"/>
      <c r="E185" s="1"/>
      <c r="F185" s="1"/>
      <c r="G185" s="4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56"/>
      <c r="B186" s="56"/>
      <c r="C186" s="56"/>
      <c r="D186" s="1"/>
      <c r="E186" s="1"/>
      <c r="F186" s="1"/>
      <c r="G186" s="4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56"/>
      <c r="B187" s="56"/>
      <c r="C187" s="56"/>
      <c r="D187" s="1"/>
      <c r="E187" s="1"/>
      <c r="F187" s="1"/>
      <c r="G187" s="4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56"/>
      <c r="B188" s="56"/>
      <c r="C188" s="56"/>
      <c r="D188" s="1"/>
      <c r="E188" s="1"/>
      <c r="F188" s="1"/>
      <c r="G188" s="4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56"/>
      <c r="B189" s="56"/>
      <c r="C189" s="56"/>
      <c r="D189" s="1"/>
      <c r="E189" s="1"/>
      <c r="F189" s="1"/>
      <c r="G189" s="4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56"/>
      <c r="B190" s="56"/>
      <c r="C190" s="56"/>
      <c r="D190" s="1"/>
      <c r="E190" s="1"/>
      <c r="F190" s="1"/>
      <c r="G190" s="4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56"/>
      <c r="B191" s="56"/>
      <c r="C191" s="56"/>
      <c r="D191" s="1"/>
      <c r="E191" s="1"/>
      <c r="F191" s="1"/>
      <c r="G191" s="4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56"/>
      <c r="B192" s="56"/>
      <c r="C192" s="56"/>
      <c r="D192" s="1"/>
      <c r="E192" s="1"/>
      <c r="F192" s="1"/>
      <c r="G192" s="4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56"/>
      <c r="B193" s="56"/>
      <c r="C193" s="56"/>
      <c r="D193" s="1"/>
      <c r="E193" s="1"/>
      <c r="F193" s="1"/>
      <c r="G193" s="4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56"/>
      <c r="B194" s="56"/>
      <c r="C194" s="56"/>
      <c r="D194" s="1"/>
      <c r="E194" s="1"/>
      <c r="F194" s="1"/>
      <c r="G194" s="4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56"/>
      <c r="B195" s="56"/>
      <c r="C195" s="56"/>
      <c r="D195" s="1"/>
      <c r="E195" s="1"/>
      <c r="F195" s="1"/>
      <c r="G195" s="4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56"/>
      <c r="B196" s="56"/>
      <c r="C196" s="56"/>
      <c r="D196" s="1"/>
      <c r="E196" s="1"/>
      <c r="F196" s="1"/>
      <c r="G196" s="4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56"/>
      <c r="B197" s="56"/>
      <c r="C197" s="56"/>
      <c r="D197" s="1"/>
      <c r="E197" s="1"/>
      <c r="F197" s="1"/>
      <c r="G197" s="4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56"/>
      <c r="B198" s="56"/>
      <c r="C198" s="56"/>
      <c r="D198" s="1"/>
      <c r="E198" s="1"/>
      <c r="F198" s="1"/>
      <c r="G198" s="4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56"/>
      <c r="B199" s="56"/>
      <c r="C199" s="56"/>
      <c r="D199" s="1"/>
      <c r="E199" s="1"/>
      <c r="F199" s="1"/>
      <c r="G199" s="4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56"/>
      <c r="B200" s="56"/>
      <c r="C200" s="56"/>
      <c r="D200" s="1"/>
      <c r="E200" s="1"/>
      <c r="F200" s="1"/>
      <c r="G200" s="4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56"/>
      <c r="B201" s="56"/>
      <c r="C201" s="56"/>
      <c r="D201" s="1"/>
      <c r="E201" s="1"/>
      <c r="F201" s="1"/>
      <c r="G201" s="4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56"/>
      <c r="B202" s="56"/>
      <c r="C202" s="56"/>
      <c r="D202" s="1"/>
      <c r="E202" s="1"/>
      <c r="F202" s="1"/>
      <c r="G202" s="4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56"/>
      <c r="B203" s="56"/>
      <c r="C203" s="56"/>
      <c r="D203" s="1"/>
      <c r="E203" s="1"/>
      <c r="F203" s="1"/>
      <c r="G203" s="4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56"/>
      <c r="B204" s="56"/>
      <c r="C204" s="56"/>
      <c r="D204" s="1"/>
      <c r="E204" s="1"/>
      <c r="F204" s="1"/>
      <c r="G204" s="4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56"/>
      <c r="B205" s="56"/>
      <c r="C205" s="56"/>
      <c r="D205" s="1"/>
      <c r="E205" s="1"/>
      <c r="F205" s="1"/>
      <c r="G205" s="4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56"/>
      <c r="B206" s="56"/>
      <c r="C206" s="56"/>
      <c r="D206" s="1"/>
      <c r="E206" s="1"/>
      <c r="F206" s="1"/>
      <c r="G206" s="4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56"/>
      <c r="B207" s="56"/>
      <c r="C207" s="56"/>
      <c r="D207" s="1"/>
      <c r="E207" s="1"/>
      <c r="F207" s="1"/>
      <c r="G207" s="4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56"/>
      <c r="B208" s="56"/>
      <c r="C208" s="56"/>
      <c r="D208" s="1"/>
      <c r="E208" s="1"/>
      <c r="F208" s="1"/>
      <c r="G208" s="4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56"/>
      <c r="B209" s="56"/>
      <c r="C209" s="56"/>
      <c r="D209" s="1"/>
      <c r="E209" s="1"/>
      <c r="F209" s="1"/>
      <c r="G209" s="4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56"/>
      <c r="B210" s="56"/>
      <c r="C210" s="56"/>
      <c r="D210" s="1"/>
      <c r="E210" s="1"/>
      <c r="F210" s="1"/>
      <c r="G210" s="4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56"/>
      <c r="B211" s="56"/>
      <c r="C211" s="56"/>
      <c r="D211" s="1"/>
      <c r="E211" s="1"/>
      <c r="F211" s="1"/>
      <c r="G211" s="4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56"/>
      <c r="B212" s="56"/>
      <c r="C212" s="56"/>
      <c r="D212" s="1"/>
      <c r="E212" s="1"/>
      <c r="F212" s="1"/>
      <c r="G212" s="4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56"/>
      <c r="B213" s="56"/>
      <c r="C213" s="56"/>
      <c r="D213" s="1"/>
      <c r="E213" s="1"/>
      <c r="F213" s="1"/>
      <c r="G213" s="4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56"/>
      <c r="B214" s="56"/>
      <c r="C214" s="56"/>
      <c r="D214" s="1"/>
      <c r="E214" s="1"/>
      <c r="F214" s="1"/>
      <c r="G214" s="4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56"/>
      <c r="B215" s="56"/>
      <c r="C215" s="56"/>
      <c r="D215" s="1"/>
      <c r="E215" s="1"/>
      <c r="F215" s="1"/>
      <c r="G215" s="4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56"/>
      <c r="B216" s="56"/>
      <c r="C216" s="56"/>
      <c r="D216" s="1"/>
      <c r="E216" s="1"/>
      <c r="F216" s="1"/>
      <c r="G216" s="4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56"/>
      <c r="B217" s="56"/>
      <c r="C217" s="56"/>
      <c r="D217" s="1"/>
      <c r="E217" s="1"/>
      <c r="F217" s="1"/>
      <c r="G217" s="4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56"/>
      <c r="B218" s="56"/>
      <c r="C218" s="56"/>
      <c r="D218" s="1"/>
      <c r="E218" s="1"/>
      <c r="F218" s="1"/>
      <c r="G218" s="4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56"/>
      <c r="B219" s="56"/>
      <c r="C219" s="56"/>
      <c r="D219" s="1"/>
      <c r="E219" s="1"/>
      <c r="F219" s="1"/>
      <c r="G219" s="4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56"/>
      <c r="B220" s="56"/>
      <c r="C220" s="56"/>
      <c r="D220" s="1"/>
      <c r="E220" s="1"/>
      <c r="F220" s="1"/>
      <c r="G220" s="4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56"/>
      <c r="B221" s="56"/>
      <c r="C221" s="56"/>
      <c r="D221" s="1"/>
      <c r="E221" s="1"/>
      <c r="F221" s="1"/>
      <c r="G221" s="4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56"/>
      <c r="B222" s="56"/>
      <c r="C222" s="56"/>
      <c r="D222" s="1"/>
      <c r="E222" s="1"/>
      <c r="F222" s="1"/>
      <c r="G222" s="4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56"/>
      <c r="B223" s="56"/>
      <c r="C223" s="56"/>
      <c r="D223" s="1"/>
      <c r="E223" s="1"/>
      <c r="F223" s="1"/>
      <c r="G223" s="4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56"/>
      <c r="B224" s="56"/>
      <c r="C224" s="56"/>
      <c r="D224" s="1"/>
      <c r="E224" s="1"/>
      <c r="F224" s="1"/>
      <c r="G224" s="4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56"/>
      <c r="B225" s="56"/>
      <c r="C225" s="56"/>
      <c r="D225" s="1"/>
      <c r="E225" s="1"/>
      <c r="F225" s="1"/>
      <c r="G225" s="4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56"/>
      <c r="B226" s="56"/>
      <c r="C226" s="56"/>
      <c r="D226" s="1"/>
      <c r="E226" s="1"/>
      <c r="F226" s="1"/>
      <c r="G226" s="4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56"/>
      <c r="B227" s="56"/>
      <c r="C227" s="56"/>
      <c r="D227" s="1"/>
      <c r="E227" s="1"/>
      <c r="F227" s="1"/>
      <c r="G227" s="4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56"/>
      <c r="B228" s="56"/>
      <c r="C228" s="56"/>
      <c r="D228" s="1"/>
      <c r="E228" s="1"/>
      <c r="F228" s="1"/>
      <c r="G228" s="4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56"/>
      <c r="B229" s="56"/>
      <c r="C229" s="56"/>
      <c r="D229" s="1"/>
      <c r="E229" s="1"/>
      <c r="F229" s="1"/>
      <c r="G229" s="4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56"/>
      <c r="B230" s="56"/>
      <c r="C230" s="56"/>
      <c r="D230" s="1"/>
      <c r="E230" s="1"/>
      <c r="F230" s="1"/>
      <c r="G230" s="4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56"/>
      <c r="B231" s="56"/>
      <c r="C231" s="56"/>
      <c r="D231" s="1"/>
      <c r="E231" s="1"/>
      <c r="F231" s="1"/>
      <c r="G231" s="4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56"/>
      <c r="B232" s="56"/>
      <c r="C232" s="56"/>
      <c r="D232" s="1"/>
      <c r="E232" s="1"/>
      <c r="F232" s="1"/>
      <c r="G232" s="4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56"/>
      <c r="B233" s="56"/>
      <c r="C233" s="56"/>
      <c r="D233" s="1"/>
      <c r="E233" s="1"/>
      <c r="F233" s="1"/>
      <c r="G233" s="4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56"/>
      <c r="B234" s="56"/>
      <c r="C234" s="56"/>
      <c r="D234" s="1"/>
      <c r="E234" s="1"/>
      <c r="F234" s="1"/>
      <c r="G234" s="4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56"/>
      <c r="B235" s="56"/>
      <c r="C235" s="56"/>
      <c r="D235" s="1"/>
      <c r="E235" s="1"/>
      <c r="F235" s="1"/>
      <c r="G235" s="4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56"/>
      <c r="B236" s="56"/>
      <c r="C236" s="56"/>
      <c r="D236" s="1"/>
      <c r="E236" s="1"/>
      <c r="F236" s="1"/>
      <c r="G236" s="4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56"/>
      <c r="B237" s="56"/>
      <c r="C237" s="56"/>
      <c r="D237" s="1"/>
      <c r="E237" s="1"/>
      <c r="F237" s="1"/>
      <c r="G237" s="4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56"/>
      <c r="B238" s="56"/>
      <c r="C238" s="56"/>
      <c r="D238" s="1"/>
      <c r="E238" s="1"/>
      <c r="F238" s="1"/>
      <c r="G238" s="4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56"/>
      <c r="B239" s="56"/>
      <c r="C239" s="56"/>
      <c r="D239" s="1"/>
      <c r="E239" s="1"/>
      <c r="F239" s="1"/>
      <c r="G239" s="4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56"/>
      <c r="B240" s="56"/>
      <c r="C240" s="56"/>
      <c r="D240" s="1"/>
      <c r="E240" s="1"/>
      <c r="F240" s="1"/>
      <c r="G240" s="4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56"/>
      <c r="B241" s="56"/>
      <c r="C241" s="56"/>
      <c r="D241" s="1"/>
      <c r="E241" s="1"/>
      <c r="F241" s="1"/>
      <c r="G241" s="4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56"/>
      <c r="B242" s="56"/>
      <c r="C242" s="56"/>
      <c r="D242" s="1"/>
      <c r="E242" s="1"/>
      <c r="F242" s="1"/>
      <c r="G242" s="4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56"/>
      <c r="B243" s="56"/>
      <c r="C243" s="56"/>
      <c r="D243" s="1"/>
      <c r="E243" s="1"/>
      <c r="F243" s="1"/>
      <c r="G243" s="4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56"/>
      <c r="B244" s="56"/>
      <c r="C244" s="56"/>
      <c r="D244" s="1"/>
      <c r="E244" s="1"/>
      <c r="F244" s="1"/>
      <c r="G244" s="4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56"/>
      <c r="B245" s="56"/>
      <c r="C245" s="56"/>
      <c r="D245" s="1"/>
      <c r="E245" s="1"/>
      <c r="F245" s="1"/>
      <c r="G245" s="4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56"/>
      <c r="B246" s="56"/>
      <c r="C246" s="56"/>
      <c r="D246" s="1"/>
      <c r="E246" s="1"/>
      <c r="F246" s="1"/>
      <c r="G246" s="4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56"/>
      <c r="B247" s="56"/>
      <c r="C247" s="56"/>
      <c r="D247" s="1"/>
      <c r="E247" s="1"/>
      <c r="F247" s="1"/>
      <c r="G247" s="4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56"/>
      <c r="B248" s="56"/>
      <c r="C248" s="56"/>
      <c r="D248" s="1"/>
      <c r="E248" s="1"/>
      <c r="F248" s="1"/>
      <c r="G248" s="4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56"/>
      <c r="B249" s="56"/>
      <c r="C249" s="56"/>
      <c r="D249" s="1"/>
      <c r="E249" s="1"/>
      <c r="F249" s="1"/>
      <c r="G249" s="4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56"/>
      <c r="B250" s="56"/>
      <c r="C250" s="56"/>
      <c r="D250" s="1"/>
      <c r="E250" s="1"/>
      <c r="F250" s="1"/>
      <c r="G250" s="4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56"/>
      <c r="B251" s="56"/>
      <c r="C251" s="56"/>
      <c r="D251" s="1"/>
      <c r="E251" s="1"/>
      <c r="F251" s="1"/>
      <c r="G251" s="4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56"/>
      <c r="B252" s="56"/>
      <c r="C252" s="56"/>
      <c r="D252" s="1"/>
      <c r="E252" s="1"/>
      <c r="F252" s="1"/>
      <c r="G252" s="4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56"/>
      <c r="B253" s="56"/>
      <c r="C253" s="56"/>
      <c r="D253" s="1"/>
      <c r="E253" s="1"/>
      <c r="F253" s="1"/>
      <c r="G253" s="4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56"/>
      <c r="B254" s="56"/>
      <c r="C254" s="56"/>
      <c r="D254" s="1"/>
      <c r="E254" s="1"/>
      <c r="F254" s="1"/>
      <c r="G254" s="4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56"/>
      <c r="B255" s="56"/>
      <c r="C255" s="56"/>
      <c r="D255" s="1"/>
      <c r="E255" s="1"/>
      <c r="F255" s="1"/>
      <c r="G255" s="4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56"/>
      <c r="B256" s="56"/>
      <c r="C256" s="56"/>
      <c r="D256" s="1"/>
      <c r="E256" s="1"/>
      <c r="F256" s="1"/>
      <c r="G256" s="4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56"/>
      <c r="B257" s="56"/>
      <c r="C257" s="56"/>
      <c r="D257" s="1"/>
      <c r="E257" s="1"/>
      <c r="F257" s="1"/>
      <c r="G257" s="4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56"/>
      <c r="B258" s="56"/>
      <c r="C258" s="56"/>
      <c r="D258" s="1"/>
      <c r="E258" s="1"/>
      <c r="F258" s="1"/>
      <c r="G258" s="4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56"/>
      <c r="B259" s="56"/>
      <c r="C259" s="56"/>
      <c r="D259" s="1"/>
      <c r="E259" s="1"/>
      <c r="F259" s="1"/>
      <c r="G259" s="4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56"/>
      <c r="B260" s="56"/>
      <c r="C260" s="56"/>
      <c r="D260" s="1"/>
      <c r="E260" s="1"/>
      <c r="F260" s="1"/>
      <c r="G260" s="4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56"/>
      <c r="B261" s="56"/>
      <c r="C261" s="56"/>
      <c r="D261" s="1"/>
      <c r="E261" s="1"/>
      <c r="F261" s="1"/>
      <c r="G261" s="4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56"/>
      <c r="B262" s="56"/>
      <c r="C262" s="56"/>
      <c r="D262" s="1"/>
      <c r="E262" s="1"/>
      <c r="F262" s="1"/>
      <c r="G262" s="4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56"/>
      <c r="B263" s="56"/>
      <c r="C263" s="56"/>
      <c r="D263" s="1"/>
      <c r="E263" s="1"/>
      <c r="F263" s="1"/>
      <c r="G263" s="4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56"/>
      <c r="B264" s="56"/>
      <c r="C264" s="56"/>
      <c r="D264" s="1"/>
      <c r="E264" s="1"/>
      <c r="F264" s="1"/>
      <c r="G264" s="4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56"/>
      <c r="B265" s="56"/>
      <c r="C265" s="56"/>
      <c r="D265" s="1"/>
      <c r="E265" s="1"/>
      <c r="F265" s="1"/>
      <c r="G265" s="4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56"/>
      <c r="B266" s="56"/>
      <c r="C266" s="56"/>
      <c r="D266" s="1"/>
      <c r="E266" s="1"/>
      <c r="F266" s="1"/>
      <c r="G266" s="4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56"/>
      <c r="B267" s="56"/>
      <c r="C267" s="56"/>
      <c r="D267" s="1"/>
      <c r="E267" s="1"/>
      <c r="F267" s="1"/>
      <c r="G267" s="4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56"/>
      <c r="B268" s="56"/>
      <c r="C268" s="56"/>
      <c r="D268" s="1"/>
      <c r="E268" s="1"/>
      <c r="F268" s="1"/>
      <c r="G268" s="4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56"/>
      <c r="B269" s="56"/>
      <c r="C269" s="56"/>
      <c r="D269" s="1"/>
      <c r="E269" s="1"/>
      <c r="F269" s="1"/>
      <c r="G269" s="4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56"/>
      <c r="B270" s="56"/>
      <c r="C270" s="56"/>
      <c r="D270" s="1"/>
      <c r="E270" s="1"/>
      <c r="F270" s="1"/>
      <c r="G270" s="4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56"/>
      <c r="B271" s="56"/>
      <c r="C271" s="56"/>
      <c r="D271" s="1"/>
      <c r="E271" s="1"/>
      <c r="F271" s="1"/>
      <c r="G271" s="4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56"/>
      <c r="B272" s="56"/>
      <c r="C272" s="56"/>
      <c r="D272" s="1"/>
      <c r="E272" s="1"/>
      <c r="F272" s="1"/>
      <c r="G272" s="4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56"/>
      <c r="B273" s="56"/>
      <c r="C273" s="56"/>
      <c r="D273" s="1"/>
      <c r="E273" s="1"/>
      <c r="F273" s="1"/>
      <c r="G273" s="4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56"/>
      <c r="B274" s="56"/>
      <c r="C274" s="56"/>
      <c r="D274" s="1"/>
      <c r="E274" s="1"/>
      <c r="F274" s="1"/>
      <c r="G274" s="4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56"/>
      <c r="B275" s="56"/>
      <c r="C275" s="56"/>
      <c r="D275" s="1"/>
      <c r="E275" s="1"/>
      <c r="F275" s="1"/>
      <c r="G275" s="4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56"/>
      <c r="B276" s="56"/>
      <c r="C276" s="56"/>
      <c r="D276" s="1"/>
      <c r="E276" s="1"/>
      <c r="F276" s="1"/>
      <c r="G276" s="4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56"/>
      <c r="B277" s="56"/>
      <c r="C277" s="56"/>
      <c r="D277" s="1"/>
      <c r="E277" s="1"/>
      <c r="F277" s="1"/>
      <c r="G277" s="4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56"/>
      <c r="B278" s="56"/>
      <c r="C278" s="56"/>
      <c r="D278" s="1"/>
      <c r="E278" s="1"/>
      <c r="F278" s="1"/>
      <c r="G278" s="4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56"/>
      <c r="B279" s="56"/>
      <c r="C279" s="56"/>
      <c r="D279" s="1"/>
      <c r="E279" s="1"/>
      <c r="F279" s="1"/>
      <c r="G279" s="4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56"/>
      <c r="B280" s="56"/>
      <c r="C280" s="56"/>
      <c r="D280" s="1"/>
      <c r="E280" s="1"/>
      <c r="F280" s="1"/>
      <c r="G280" s="4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56"/>
      <c r="B281" s="56"/>
      <c r="C281" s="56"/>
      <c r="D281" s="1"/>
      <c r="E281" s="1"/>
      <c r="F281" s="1"/>
      <c r="G281" s="4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56"/>
      <c r="B282" s="56"/>
      <c r="C282" s="56"/>
      <c r="D282" s="1"/>
      <c r="E282" s="1"/>
      <c r="F282" s="1"/>
      <c r="G282" s="4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56"/>
      <c r="B283" s="56"/>
      <c r="C283" s="56"/>
      <c r="D283" s="1"/>
      <c r="E283" s="1"/>
      <c r="F283" s="1"/>
      <c r="G283" s="4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56"/>
      <c r="B284" s="56"/>
      <c r="C284" s="56"/>
      <c r="D284" s="1"/>
      <c r="E284" s="1"/>
      <c r="F284" s="1"/>
      <c r="G284" s="4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56"/>
      <c r="B285" s="56"/>
      <c r="C285" s="56"/>
      <c r="D285" s="1"/>
      <c r="E285" s="1"/>
      <c r="F285" s="1"/>
      <c r="G285" s="4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56"/>
      <c r="B286" s="56"/>
      <c r="C286" s="56"/>
      <c r="D286" s="1"/>
      <c r="E286" s="1"/>
      <c r="F286" s="1"/>
      <c r="G286" s="4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56"/>
      <c r="B287" s="56"/>
      <c r="C287" s="56"/>
      <c r="D287" s="1"/>
      <c r="E287" s="1"/>
      <c r="F287" s="1"/>
      <c r="G287" s="4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56"/>
      <c r="B288" s="56"/>
      <c r="C288" s="56"/>
      <c r="D288" s="1"/>
      <c r="E288" s="1"/>
      <c r="F288" s="1"/>
      <c r="G288" s="4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56"/>
      <c r="B289" s="56"/>
      <c r="C289" s="56"/>
      <c r="D289" s="1"/>
      <c r="E289" s="1"/>
      <c r="F289" s="1"/>
      <c r="G289" s="4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56"/>
      <c r="B290" s="56"/>
      <c r="C290" s="56"/>
      <c r="D290" s="1"/>
      <c r="E290" s="1"/>
      <c r="F290" s="1"/>
      <c r="G290" s="4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56"/>
      <c r="B291" s="56"/>
      <c r="C291" s="56"/>
      <c r="D291" s="1"/>
      <c r="E291" s="1"/>
      <c r="F291" s="1"/>
      <c r="G291" s="4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56"/>
      <c r="B292" s="56"/>
      <c r="C292" s="56"/>
      <c r="D292" s="1"/>
      <c r="E292" s="1"/>
      <c r="F292" s="1"/>
      <c r="G292" s="4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56"/>
      <c r="B293" s="56"/>
      <c r="C293" s="56"/>
      <c r="D293" s="1"/>
      <c r="E293" s="1"/>
      <c r="F293" s="1"/>
      <c r="G293" s="4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56"/>
      <c r="B294" s="56"/>
      <c r="C294" s="56"/>
      <c r="D294" s="1"/>
      <c r="E294" s="1"/>
      <c r="F294" s="1"/>
      <c r="G294" s="4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56"/>
      <c r="B295" s="56"/>
      <c r="C295" s="56"/>
      <c r="D295" s="1"/>
      <c r="E295" s="1"/>
      <c r="F295" s="1"/>
      <c r="G295" s="4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56"/>
      <c r="B296" s="56"/>
      <c r="C296" s="56"/>
      <c r="D296" s="1"/>
      <c r="E296" s="1"/>
      <c r="F296" s="1"/>
      <c r="G296" s="4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56"/>
      <c r="B297" s="56"/>
      <c r="C297" s="56"/>
      <c r="D297" s="1"/>
      <c r="E297" s="1"/>
      <c r="F297" s="1"/>
      <c r="G297" s="4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56"/>
      <c r="B298" s="56"/>
      <c r="C298" s="56"/>
      <c r="D298" s="1"/>
      <c r="E298" s="1"/>
      <c r="F298" s="1"/>
      <c r="G298" s="4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56"/>
      <c r="B299" s="56"/>
      <c r="C299" s="56"/>
      <c r="D299" s="1"/>
      <c r="E299" s="1"/>
      <c r="F299" s="1"/>
      <c r="G299" s="4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56"/>
      <c r="B300" s="56"/>
      <c r="C300" s="56"/>
      <c r="D300" s="1"/>
      <c r="E300" s="1"/>
      <c r="F300" s="1"/>
      <c r="G300" s="4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56"/>
      <c r="B301" s="56"/>
      <c r="C301" s="56"/>
      <c r="D301" s="1"/>
      <c r="E301" s="1"/>
      <c r="F301" s="1"/>
      <c r="G301" s="4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56"/>
      <c r="B302" s="56"/>
      <c r="C302" s="56"/>
      <c r="D302" s="1"/>
      <c r="E302" s="1"/>
      <c r="F302" s="1"/>
      <c r="G302" s="4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56"/>
      <c r="B303" s="56"/>
      <c r="C303" s="56"/>
      <c r="D303" s="1"/>
      <c r="E303" s="1"/>
      <c r="F303" s="1"/>
      <c r="G303" s="4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56"/>
      <c r="B304" s="56"/>
      <c r="C304" s="56"/>
      <c r="D304" s="1"/>
      <c r="E304" s="1"/>
      <c r="F304" s="1"/>
      <c r="G304" s="4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56"/>
      <c r="B305" s="56"/>
      <c r="C305" s="56"/>
      <c r="D305" s="1"/>
      <c r="E305" s="1"/>
      <c r="F305" s="1"/>
      <c r="G305" s="4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56"/>
      <c r="B306" s="56"/>
      <c r="C306" s="56"/>
      <c r="D306" s="1"/>
      <c r="E306" s="1"/>
      <c r="F306" s="1"/>
      <c r="G306" s="4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56"/>
      <c r="B307" s="56"/>
      <c r="C307" s="56"/>
      <c r="D307" s="1"/>
      <c r="E307" s="1"/>
      <c r="F307" s="1"/>
      <c r="G307" s="4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56"/>
      <c r="B308" s="56"/>
      <c r="C308" s="56"/>
      <c r="D308" s="1"/>
      <c r="E308" s="1"/>
      <c r="F308" s="1"/>
      <c r="G308" s="4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56"/>
      <c r="B309" s="56"/>
      <c r="C309" s="56"/>
      <c r="D309" s="1"/>
      <c r="E309" s="1"/>
      <c r="F309" s="1"/>
      <c r="G309" s="4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56"/>
      <c r="B310" s="56"/>
      <c r="C310" s="56"/>
      <c r="D310" s="1"/>
      <c r="E310" s="1"/>
      <c r="F310" s="1"/>
      <c r="G310" s="4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56"/>
      <c r="B311" s="56"/>
      <c r="C311" s="56"/>
      <c r="D311" s="1"/>
      <c r="E311" s="1"/>
      <c r="F311" s="1"/>
      <c r="G311" s="4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56"/>
      <c r="B312" s="56"/>
      <c r="C312" s="56"/>
      <c r="D312" s="1"/>
      <c r="E312" s="1"/>
      <c r="F312" s="1"/>
      <c r="G312" s="4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56"/>
      <c r="B313" s="56"/>
      <c r="C313" s="56"/>
      <c r="D313" s="1"/>
      <c r="E313" s="1"/>
      <c r="F313" s="1"/>
      <c r="G313" s="4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56"/>
      <c r="B314" s="56"/>
      <c r="C314" s="56"/>
      <c r="D314" s="1"/>
      <c r="E314" s="1"/>
      <c r="F314" s="1"/>
      <c r="G314" s="4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56"/>
      <c r="B315" s="56"/>
      <c r="C315" s="56"/>
      <c r="D315" s="1"/>
      <c r="E315" s="1"/>
      <c r="F315" s="1"/>
      <c r="G315" s="4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56"/>
      <c r="B316" s="56"/>
      <c r="C316" s="56"/>
      <c r="D316" s="1"/>
      <c r="E316" s="1"/>
      <c r="F316" s="1"/>
      <c r="G316" s="4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56"/>
      <c r="B317" s="56"/>
      <c r="C317" s="56"/>
      <c r="D317" s="1"/>
      <c r="E317" s="1"/>
      <c r="F317" s="1"/>
      <c r="G317" s="4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56"/>
      <c r="B318" s="56"/>
      <c r="C318" s="56"/>
      <c r="D318" s="1"/>
      <c r="E318" s="1"/>
      <c r="F318" s="1"/>
      <c r="G318" s="4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56"/>
      <c r="B319" s="56"/>
      <c r="C319" s="56"/>
      <c r="D319" s="1"/>
      <c r="E319" s="1"/>
      <c r="F319" s="1"/>
      <c r="G319" s="4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56"/>
      <c r="B320" s="56"/>
      <c r="C320" s="56"/>
      <c r="D320" s="1"/>
      <c r="E320" s="1"/>
      <c r="F320" s="1"/>
      <c r="G320" s="4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56"/>
      <c r="B321" s="56"/>
      <c r="C321" s="56"/>
      <c r="D321" s="1"/>
      <c r="E321" s="1"/>
      <c r="F321" s="1"/>
      <c r="G321" s="4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56"/>
      <c r="B322" s="56"/>
      <c r="C322" s="56"/>
      <c r="D322" s="1"/>
      <c r="E322" s="1"/>
      <c r="F322" s="1"/>
      <c r="G322" s="4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56"/>
      <c r="B323" s="56"/>
      <c r="C323" s="56"/>
      <c r="D323" s="1"/>
      <c r="E323" s="1"/>
      <c r="F323" s="1"/>
      <c r="G323" s="4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56"/>
      <c r="B324" s="56"/>
      <c r="C324" s="56"/>
      <c r="D324" s="1"/>
      <c r="E324" s="1"/>
      <c r="F324" s="1"/>
      <c r="G324" s="4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56"/>
      <c r="B325" s="56"/>
      <c r="C325" s="56"/>
      <c r="D325" s="1"/>
      <c r="E325" s="1"/>
      <c r="F325" s="1"/>
      <c r="G325" s="4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56"/>
      <c r="B326" s="56"/>
      <c r="C326" s="56"/>
      <c r="D326" s="1"/>
      <c r="E326" s="1"/>
      <c r="F326" s="1"/>
      <c r="G326" s="4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56"/>
      <c r="B327" s="56"/>
      <c r="C327" s="56"/>
      <c r="D327" s="1"/>
      <c r="E327" s="1"/>
      <c r="F327" s="1"/>
      <c r="G327" s="4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56"/>
      <c r="B328" s="56"/>
      <c r="C328" s="56"/>
      <c r="D328" s="1"/>
      <c r="E328" s="1"/>
      <c r="F328" s="1"/>
      <c r="G328" s="4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56"/>
      <c r="B329" s="56"/>
      <c r="C329" s="56"/>
      <c r="D329" s="1"/>
      <c r="E329" s="1"/>
      <c r="F329" s="1"/>
      <c r="G329" s="4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56"/>
      <c r="B330" s="56"/>
      <c r="C330" s="56"/>
      <c r="D330" s="1"/>
      <c r="E330" s="1"/>
      <c r="F330" s="1"/>
      <c r="G330" s="4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56"/>
      <c r="B331" s="56"/>
      <c r="C331" s="56"/>
      <c r="D331" s="1"/>
      <c r="E331" s="1"/>
      <c r="F331" s="1"/>
      <c r="G331" s="4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56"/>
      <c r="B332" s="56"/>
      <c r="C332" s="56"/>
      <c r="D332" s="1"/>
      <c r="E332" s="1"/>
      <c r="F332" s="1"/>
      <c r="G332" s="4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56"/>
      <c r="B333" s="56"/>
      <c r="C333" s="56"/>
      <c r="D333" s="1"/>
      <c r="E333" s="1"/>
      <c r="F333" s="1"/>
      <c r="G333" s="4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56"/>
      <c r="B334" s="56"/>
      <c r="C334" s="56"/>
      <c r="D334" s="1"/>
      <c r="E334" s="1"/>
      <c r="F334" s="1"/>
      <c r="G334" s="4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56"/>
      <c r="B335" s="56"/>
      <c r="C335" s="56"/>
      <c r="D335" s="1"/>
      <c r="E335" s="1"/>
      <c r="F335" s="1"/>
      <c r="G335" s="4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56"/>
      <c r="B336" s="56"/>
      <c r="C336" s="56"/>
      <c r="D336" s="1"/>
      <c r="E336" s="1"/>
      <c r="F336" s="1"/>
      <c r="G336" s="4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56"/>
      <c r="B337" s="56"/>
      <c r="C337" s="56"/>
      <c r="D337" s="1"/>
      <c r="E337" s="1"/>
      <c r="F337" s="1"/>
      <c r="G337" s="4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56"/>
      <c r="B338" s="56"/>
      <c r="C338" s="56"/>
      <c r="D338" s="1"/>
      <c r="E338" s="1"/>
      <c r="F338" s="1"/>
      <c r="G338" s="4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56"/>
      <c r="B339" s="56"/>
      <c r="C339" s="56"/>
      <c r="D339" s="1"/>
      <c r="E339" s="1"/>
      <c r="F339" s="1"/>
      <c r="G339" s="4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56"/>
      <c r="B340" s="56"/>
      <c r="C340" s="56"/>
      <c r="D340" s="1"/>
      <c r="E340" s="1"/>
      <c r="F340" s="1"/>
      <c r="G340" s="4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56"/>
      <c r="B341" s="56"/>
      <c r="C341" s="56"/>
      <c r="D341" s="1"/>
      <c r="E341" s="1"/>
      <c r="F341" s="1"/>
      <c r="G341" s="4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56"/>
      <c r="B342" s="56"/>
      <c r="C342" s="56"/>
      <c r="D342" s="1"/>
      <c r="E342" s="1"/>
      <c r="F342" s="1"/>
      <c r="G342" s="4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56"/>
      <c r="B343" s="56"/>
      <c r="C343" s="56"/>
      <c r="D343" s="1"/>
      <c r="E343" s="1"/>
      <c r="F343" s="1"/>
      <c r="G343" s="4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56"/>
      <c r="B344" s="56"/>
      <c r="C344" s="56"/>
      <c r="D344" s="1"/>
      <c r="E344" s="1"/>
      <c r="F344" s="1"/>
      <c r="G344" s="4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56"/>
      <c r="B345" s="56"/>
      <c r="C345" s="56"/>
      <c r="D345" s="1"/>
      <c r="E345" s="1"/>
      <c r="F345" s="1"/>
      <c r="G345" s="4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56"/>
      <c r="B346" s="56"/>
      <c r="C346" s="56"/>
      <c r="D346" s="1"/>
      <c r="E346" s="1"/>
      <c r="F346" s="1"/>
      <c r="G346" s="4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56"/>
      <c r="B347" s="56"/>
      <c r="C347" s="56"/>
      <c r="D347" s="1"/>
      <c r="E347" s="1"/>
      <c r="F347" s="1"/>
      <c r="G347" s="4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56"/>
      <c r="B348" s="56"/>
      <c r="C348" s="56"/>
      <c r="D348" s="1"/>
      <c r="E348" s="1"/>
      <c r="F348" s="1"/>
      <c r="G348" s="4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56"/>
      <c r="B349" s="56"/>
      <c r="C349" s="56"/>
      <c r="D349" s="1"/>
      <c r="E349" s="1"/>
      <c r="F349" s="1"/>
      <c r="G349" s="4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56"/>
      <c r="B350" s="56"/>
      <c r="C350" s="56"/>
      <c r="D350" s="1"/>
      <c r="E350" s="1"/>
      <c r="F350" s="1"/>
      <c r="G350" s="4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56"/>
      <c r="B351" s="56"/>
      <c r="C351" s="56"/>
      <c r="D351" s="1"/>
      <c r="E351" s="1"/>
      <c r="F351" s="1"/>
      <c r="G351" s="4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56"/>
      <c r="B352" s="56"/>
      <c r="C352" s="56"/>
      <c r="D352" s="1"/>
      <c r="E352" s="1"/>
      <c r="F352" s="1"/>
      <c r="G352" s="4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56"/>
      <c r="B353" s="56"/>
      <c r="C353" s="56"/>
      <c r="D353" s="1"/>
      <c r="E353" s="1"/>
      <c r="F353" s="1"/>
      <c r="G353" s="4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56"/>
      <c r="B354" s="56"/>
      <c r="C354" s="56"/>
      <c r="D354" s="1"/>
      <c r="E354" s="1"/>
      <c r="F354" s="1"/>
      <c r="G354" s="4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56"/>
      <c r="B355" s="56"/>
      <c r="C355" s="56"/>
      <c r="D355" s="1"/>
      <c r="E355" s="1"/>
      <c r="F355" s="1"/>
      <c r="G355" s="4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56"/>
      <c r="B356" s="56"/>
      <c r="C356" s="56"/>
      <c r="D356" s="1"/>
      <c r="E356" s="1"/>
      <c r="F356" s="1"/>
      <c r="G356" s="4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56"/>
      <c r="B357" s="56"/>
      <c r="C357" s="56"/>
      <c r="D357" s="1"/>
      <c r="E357" s="1"/>
      <c r="F357" s="1"/>
      <c r="G357" s="4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56"/>
      <c r="B358" s="56"/>
      <c r="C358" s="56"/>
      <c r="D358" s="1"/>
      <c r="E358" s="1"/>
      <c r="F358" s="1"/>
      <c r="G358" s="4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56"/>
      <c r="B359" s="56"/>
      <c r="C359" s="56"/>
      <c r="D359" s="1"/>
      <c r="E359" s="1"/>
      <c r="F359" s="1"/>
      <c r="G359" s="4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56"/>
      <c r="B360" s="56"/>
      <c r="C360" s="56"/>
      <c r="D360" s="1"/>
      <c r="E360" s="1"/>
      <c r="F360" s="1"/>
      <c r="G360" s="4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56"/>
      <c r="B361" s="56"/>
      <c r="C361" s="56"/>
      <c r="D361" s="1"/>
      <c r="E361" s="1"/>
      <c r="F361" s="1"/>
      <c r="G361" s="4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56"/>
      <c r="B362" s="56"/>
      <c r="C362" s="56"/>
      <c r="D362" s="1"/>
      <c r="E362" s="1"/>
      <c r="F362" s="1"/>
      <c r="G362" s="4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56"/>
      <c r="B363" s="56"/>
      <c r="C363" s="56"/>
      <c r="D363" s="1"/>
      <c r="E363" s="1"/>
      <c r="F363" s="1"/>
      <c r="G363" s="4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56"/>
      <c r="B364" s="56"/>
      <c r="C364" s="56"/>
      <c r="D364" s="1"/>
      <c r="E364" s="1"/>
      <c r="F364" s="1"/>
      <c r="G364" s="4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56"/>
      <c r="B365" s="56"/>
      <c r="C365" s="56"/>
      <c r="D365" s="1"/>
      <c r="E365" s="1"/>
      <c r="F365" s="1"/>
      <c r="G365" s="4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56"/>
      <c r="B366" s="56"/>
      <c r="C366" s="56"/>
      <c r="D366" s="1"/>
      <c r="E366" s="1"/>
      <c r="F366" s="1"/>
      <c r="G366" s="4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56"/>
      <c r="B367" s="56"/>
      <c r="C367" s="56"/>
      <c r="D367" s="1"/>
      <c r="E367" s="1"/>
      <c r="F367" s="1"/>
      <c r="G367" s="4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56"/>
      <c r="B368" s="56"/>
      <c r="C368" s="56"/>
      <c r="D368" s="1"/>
      <c r="E368" s="1"/>
      <c r="F368" s="1"/>
      <c r="G368" s="4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56"/>
      <c r="B369" s="56"/>
      <c r="C369" s="56"/>
      <c r="D369" s="1"/>
      <c r="E369" s="1"/>
      <c r="F369" s="1"/>
      <c r="G369" s="4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56"/>
      <c r="B370" s="56"/>
      <c r="C370" s="56"/>
      <c r="D370" s="1"/>
      <c r="E370" s="1"/>
      <c r="F370" s="1"/>
      <c r="G370" s="4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56"/>
      <c r="B371" s="56"/>
      <c r="C371" s="56"/>
      <c r="D371" s="1"/>
      <c r="E371" s="1"/>
      <c r="F371" s="1"/>
      <c r="G371" s="4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56"/>
      <c r="B372" s="56"/>
      <c r="C372" s="56"/>
      <c r="D372" s="1"/>
      <c r="E372" s="1"/>
      <c r="F372" s="1"/>
      <c r="G372" s="4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56"/>
      <c r="B373" s="56"/>
      <c r="C373" s="56"/>
      <c r="D373" s="1"/>
      <c r="E373" s="1"/>
      <c r="F373" s="1"/>
      <c r="G373" s="4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56"/>
      <c r="B374" s="56"/>
      <c r="C374" s="56"/>
      <c r="D374" s="1"/>
      <c r="E374" s="1"/>
      <c r="F374" s="1"/>
      <c r="G374" s="4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56"/>
      <c r="B375" s="56"/>
      <c r="C375" s="56"/>
      <c r="D375" s="1"/>
      <c r="E375" s="1"/>
      <c r="F375" s="1"/>
      <c r="G375" s="4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56"/>
      <c r="B376" s="56"/>
      <c r="C376" s="56"/>
      <c r="D376" s="1"/>
      <c r="E376" s="1"/>
      <c r="F376" s="1"/>
      <c r="G376" s="4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56"/>
      <c r="B377" s="56"/>
      <c r="C377" s="56"/>
      <c r="D377" s="1"/>
      <c r="E377" s="1"/>
      <c r="F377" s="1"/>
      <c r="G377" s="4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56"/>
      <c r="B378" s="56"/>
      <c r="C378" s="56"/>
      <c r="D378" s="1"/>
      <c r="E378" s="1"/>
      <c r="F378" s="1"/>
      <c r="G378" s="4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56"/>
      <c r="B379" s="56"/>
      <c r="C379" s="56"/>
      <c r="D379" s="1"/>
      <c r="E379" s="1"/>
      <c r="F379" s="1"/>
      <c r="G379" s="4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56"/>
      <c r="B380" s="56"/>
      <c r="C380" s="56"/>
      <c r="D380" s="1"/>
      <c r="E380" s="1"/>
      <c r="F380" s="1"/>
      <c r="G380" s="4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56"/>
      <c r="B381" s="56"/>
      <c r="C381" s="56"/>
      <c r="D381" s="1"/>
      <c r="E381" s="1"/>
      <c r="F381" s="1"/>
      <c r="G381" s="4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56"/>
      <c r="B382" s="56"/>
      <c r="C382" s="56"/>
      <c r="D382" s="1"/>
      <c r="E382" s="1"/>
      <c r="F382" s="1"/>
      <c r="G382" s="4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56"/>
      <c r="B383" s="56"/>
      <c r="C383" s="56"/>
      <c r="D383" s="1"/>
      <c r="E383" s="1"/>
      <c r="F383" s="1"/>
      <c r="G383" s="4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56"/>
      <c r="B384" s="56"/>
      <c r="C384" s="56"/>
      <c r="D384" s="1"/>
      <c r="E384" s="1"/>
      <c r="F384" s="1"/>
      <c r="G384" s="4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56"/>
      <c r="B385" s="56"/>
      <c r="C385" s="56"/>
      <c r="D385" s="1"/>
      <c r="E385" s="1"/>
      <c r="F385" s="1"/>
      <c r="G385" s="4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56"/>
      <c r="B386" s="56"/>
      <c r="C386" s="56"/>
      <c r="D386" s="1"/>
      <c r="E386" s="1"/>
      <c r="F386" s="1"/>
      <c r="G386" s="4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56"/>
      <c r="B387" s="56"/>
      <c r="C387" s="56"/>
      <c r="D387" s="1"/>
      <c r="E387" s="1"/>
      <c r="F387" s="1"/>
      <c r="G387" s="4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56"/>
      <c r="B388" s="56"/>
      <c r="C388" s="56"/>
      <c r="D388" s="1"/>
      <c r="E388" s="1"/>
      <c r="F388" s="1"/>
      <c r="G388" s="4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56"/>
      <c r="B389" s="56"/>
      <c r="C389" s="56"/>
      <c r="D389" s="1"/>
      <c r="E389" s="1"/>
      <c r="F389" s="1"/>
      <c r="G389" s="4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56"/>
      <c r="B390" s="56"/>
      <c r="C390" s="56"/>
      <c r="D390" s="1"/>
      <c r="E390" s="1"/>
      <c r="F390" s="1"/>
      <c r="G390" s="4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56"/>
      <c r="B391" s="56"/>
      <c r="C391" s="56"/>
      <c r="D391" s="1"/>
      <c r="E391" s="1"/>
      <c r="F391" s="1"/>
      <c r="G391" s="4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56"/>
      <c r="B392" s="56"/>
      <c r="C392" s="56"/>
      <c r="D392" s="1"/>
      <c r="E392" s="1"/>
      <c r="F392" s="1"/>
      <c r="G392" s="4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56"/>
      <c r="B393" s="56"/>
      <c r="C393" s="56"/>
      <c r="D393" s="1"/>
      <c r="E393" s="1"/>
      <c r="F393" s="1"/>
      <c r="G393" s="4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56"/>
      <c r="B394" s="56"/>
      <c r="C394" s="56"/>
      <c r="D394" s="1"/>
      <c r="E394" s="1"/>
      <c r="F394" s="1"/>
      <c r="G394" s="4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56"/>
      <c r="B395" s="56"/>
      <c r="C395" s="56"/>
      <c r="D395" s="1"/>
      <c r="E395" s="1"/>
      <c r="F395" s="1"/>
      <c r="G395" s="4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56"/>
      <c r="B396" s="56"/>
      <c r="C396" s="56"/>
      <c r="D396" s="1"/>
      <c r="E396" s="1"/>
      <c r="F396" s="1"/>
      <c r="G396" s="4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56"/>
      <c r="B397" s="56"/>
      <c r="C397" s="56"/>
      <c r="D397" s="1"/>
      <c r="E397" s="1"/>
      <c r="F397" s="1"/>
      <c r="G397" s="4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56"/>
      <c r="B398" s="56"/>
      <c r="C398" s="56"/>
      <c r="D398" s="1"/>
      <c r="E398" s="1"/>
      <c r="F398" s="1"/>
      <c r="G398" s="4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56"/>
      <c r="B399" s="56"/>
      <c r="C399" s="56"/>
      <c r="D399" s="1"/>
      <c r="E399" s="1"/>
      <c r="F399" s="1"/>
      <c r="G399" s="4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56"/>
      <c r="B400" s="56"/>
      <c r="C400" s="56"/>
      <c r="D400" s="1"/>
      <c r="E400" s="1"/>
      <c r="F400" s="1"/>
      <c r="G400" s="4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56"/>
      <c r="B401" s="56"/>
      <c r="C401" s="56"/>
      <c r="D401" s="1"/>
      <c r="E401" s="1"/>
      <c r="F401" s="1"/>
      <c r="G401" s="4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56"/>
      <c r="B402" s="56"/>
      <c r="C402" s="56"/>
      <c r="D402" s="1"/>
      <c r="E402" s="1"/>
      <c r="F402" s="1"/>
      <c r="G402" s="4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56"/>
      <c r="B403" s="56"/>
      <c r="C403" s="56"/>
      <c r="D403" s="1"/>
      <c r="E403" s="1"/>
      <c r="F403" s="1"/>
      <c r="G403" s="4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56"/>
      <c r="B404" s="56"/>
      <c r="C404" s="56"/>
      <c r="D404" s="1"/>
      <c r="E404" s="1"/>
      <c r="F404" s="1"/>
      <c r="G404" s="4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56"/>
      <c r="B405" s="56"/>
      <c r="C405" s="56"/>
      <c r="D405" s="1"/>
      <c r="E405" s="1"/>
      <c r="F405" s="1"/>
      <c r="G405" s="4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56"/>
      <c r="B406" s="56"/>
      <c r="C406" s="56"/>
      <c r="D406" s="1"/>
      <c r="E406" s="1"/>
      <c r="F406" s="1"/>
      <c r="G406" s="4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56"/>
      <c r="B407" s="56"/>
      <c r="C407" s="56"/>
      <c r="D407" s="1"/>
      <c r="E407" s="1"/>
      <c r="F407" s="1"/>
      <c r="G407" s="4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56"/>
      <c r="B408" s="56"/>
      <c r="C408" s="56"/>
      <c r="D408" s="1"/>
      <c r="E408" s="1"/>
      <c r="F408" s="1"/>
      <c r="G408" s="4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56"/>
      <c r="B409" s="56"/>
      <c r="C409" s="56"/>
      <c r="D409" s="1"/>
      <c r="E409" s="1"/>
      <c r="F409" s="1"/>
      <c r="G409" s="4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56"/>
      <c r="B410" s="56"/>
      <c r="C410" s="56"/>
      <c r="D410" s="1"/>
      <c r="E410" s="1"/>
      <c r="F410" s="1"/>
      <c r="G410" s="4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56"/>
      <c r="B411" s="56"/>
      <c r="C411" s="56"/>
      <c r="D411" s="1"/>
      <c r="E411" s="1"/>
      <c r="F411" s="1"/>
      <c r="G411" s="4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56"/>
      <c r="B412" s="56"/>
      <c r="C412" s="56"/>
      <c r="D412" s="1"/>
      <c r="E412" s="1"/>
      <c r="F412" s="1"/>
      <c r="G412" s="4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56"/>
      <c r="B413" s="56"/>
      <c r="C413" s="56"/>
      <c r="D413" s="1"/>
      <c r="E413" s="1"/>
      <c r="F413" s="1"/>
      <c r="G413" s="4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56"/>
      <c r="B414" s="56"/>
      <c r="C414" s="56"/>
      <c r="D414" s="1"/>
      <c r="E414" s="1"/>
      <c r="F414" s="1"/>
      <c r="G414" s="4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56"/>
      <c r="B415" s="56"/>
      <c r="C415" s="56"/>
      <c r="D415" s="1"/>
      <c r="E415" s="1"/>
      <c r="F415" s="1"/>
      <c r="G415" s="4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56"/>
      <c r="B416" s="56"/>
      <c r="C416" s="56"/>
      <c r="D416" s="1"/>
      <c r="E416" s="1"/>
      <c r="F416" s="1"/>
      <c r="G416" s="4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56"/>
      <c r="B417" s="56"/>
      <c r="C417" s="56"/>
      <c r="D417" s="1"/>
      <c r="E417" s="1"/>
      <c r="F417" s="1"/>
      <c r="G417" s="4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56"/>
      <c r="B418" s="56"/>
      <c r="C418" s="56"/>
      <c r="D418" s="1"/>
      <c r="E418" s="1"/>
      <c r="F418" s="1"/>
      <c r="G418" s="4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56"/>
      <c r="B419" s="56"/>
      <c r="C419" s="56"/>
      <c r="D419" s="1"/>
      <c r="E419" s="1"/>
      <c r="F419" s="1"/>
      <c r="G419" s="4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56"/>
      <c r="B420" s="56"/>
      <c r="C420" s="56"/>
      <c r="D420" s="1"/>
      <c r="E420" s="1"/>
      <c r="F420" s="1"/>
      <c r="G420" s="4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56"/>
      <c r="B421" s="56"/>
      <c r="C421" s="56"/>
      <c r="D421" s="1"/>
      <c r="E421" s="1"/>
      <c r="F421" s="1"/>
      <c r="G421" s="4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56"/>
      <c r="B422" s="56"/>
      <c r="C422" s="56"/>
      <c r="D422" s="1"/>
      <c r="E422" s="1"/>
      <c r="F422" s="1"/>
      <c r="G422" s="4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56"/>
      <c r="B423" s="56"/>
      <c r="C423" s="56"/>
      <c r="D423" s="1"/>
      <c r="E423" s="1"/>
      <c r="F423" s="1"/>
      <c r="G423" s="4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56"/>
      <c r="B424" s="56"/>
      <c r="C424" s="56"/>
      <c r="D424" s="1"/>
      <c r="E424" s="1"/>
      <c r="F424" s="1"/>
      <c r="G424" s="4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56"/>
      <c r="B425" s="56"/>
      <c r="C425" s="56"/>
      <c r="D425" s="1"/>
      <c r="E425" s="1"/>
      <c r="F425" s="1"/>
      <c r="G425" s="4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56"/>
      <c r="B426" s="56"/>
      <c r="C426" s="56"/>
      <c r="D426" s="1"/>
      <c r="E426" s="1"/>
      <c r="F426" s="1"/>
      <c r="G426" s="4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56"/>
      <c r="B427" s="56"/>
      <c r="C427" s="56"/>
      <c r="D427" s="1"/>
      <c r="E427" s="1"/>
      <c r="F427" s="1"/>
      <c r="G427" s="4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56"/>
      <c r="B428" s="56"/>
      <c r="C428" s="56"/>
      <c r="D428" s="1"/>
      <c r="E428" s="1"/>
      <c r="F428" s="1"/>
      <c r="G428" s="4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56"/>
      <c r="B429" s="56"/>
      <c r="C429" s="56"/>
      <c r="D429" s="1"/>
      <c r="E429" s="1"/>
      <c r="F429" s="1"/>
      <c r="G429" s="4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56"/>
      <c r="B430" s="56"/>
      <c r="C430" s="56"/>
      <c r="D430" s="1"/>
      <c r="E430" s="1"/>
      <c r="F430" s="1"/>
      <c r="G430" s="4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56"/>
      <c r="B431" s="56"/>
      <c r="C431" s="56"/>
      <c r="D431" s="1"/>
      <c r="E431" s="1"/>
      <c r="F431" s="1"/>
      <c r="G431" s="4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56"/>
      <c r="B432" s="56"/>
      <c r="C432" s="56"/>
      <c r="D432" s="1"/>
      <c r="E432" s="1"/>
      <c r="F432" s="1"/>
      <c r="G432" s="4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56"/>
      <c r="B433" s="56"/>
      <c r="C433" s="56"/>
      <c r="D433" s="1"/>
      <c r="E433" s="1"/>
      <c r="F433" s="1"/>
      <c r="G433" s="4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56"/>
      <c r="B434" s="56"/>
      <c r="C434" s="56"/>
      <c r="D434" s="1"/>
      <c r="E434" s="1"/>
      <c r="F434" s="1"/>
      <c r="G434" s="4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56"/>
      <c r="B435" s="56"/>
      <c r="C435" s="56"/>
      <c r="D435" s="1"/>
      <c r="E435" s="1"/>
      <c r="F435" s="1"/>
      <c r="G435" s="4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56"/>
      <c r="B436" s="56"/>
      <c r="C436" s="56"/>
      <c r="D436" s="1"/>
      <c r="E436" s="1"/>
      <c r="F436" s="1"/>
      <c r="G436" s="4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56"/>
      <c r="B437" s="56"/>
      <c r="C437" s="56"/>
      <c r="D437" s="1"/>
      <c r="E437" s="1"/>
      <c r="F437" s="1"/>
      <c r="G437" s="4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56"/>
      <c r="B438" s="56"/>
      <c r="C438" s="56"/>
      <c r="D438" s="1"/>
      <c r="E438" s="1"/>
      <c r="F438" s="1"/>
      <c r="G438" s="4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56"/>
      <c r="B439" s="56"/>
      <c r="C439" s="56"/>
      <c r="D439" s="1"/>
      <c r="E439" s="1"/>
      <c r="F439" s="1"/>
      <c r="G439" s="4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56"/>
      <c r="B440" s="56"/>
      <c r="C440" s="56"/>
      <c r="D440" s="1"/>
      <c r="E440" s="1"/>
      <c r="F440" s="1"/>
      <c r="G440" s="4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56"/>
      <c r="B441" s="56"/>
      <c r="C441" s="56"/>
      <c r="D441" s="1"/>
      <c r="E441" s="1"/>
      <c r="F441" s="1"/>
      <c r="G441" s="4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56"/>
      <c r="B442" s="56"/>
      <c r="C442" s="56"/>
      <c r="D442" s="1"/>
      <c r="E442" s="1"/>
      <c r="F442" s="1"/>
      <c r="G442" s="4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56"/>
      <c r="B443" s="56"/>
      <c r="C443" s="56"/>
      <c r="D443" s="1"/>
      <c r="E443" s="1"/>
      <c r="F443" s="1"/>
      <c r="G443" s="4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56"/>
      <c r="B444" s="56"/>
      <c r="C444" s="56"/>
      <c r="D444" s="1"/>
      <c r="E444" s="1"/>
      <c r="F444" s="1"/>
      <c r="G444" s="4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56"/>
      <c r="B445" s="56"/>
      <c r="C445" s="56"/>
      <c r="D445" s="1"/>
      <c r="E445" s="1"/>
      <c r="F445" s="1"/>
      <c r="G445" s="4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56"/>
      <c r="B446" s="56"/>
      <c r="C446" s="56"/>
      <c r="D446" s="1"/>
      <c r="E446" s="1"/>
      <c r="F446" s="1"/>
      <c r="G446" s="4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56"/>
      <c r="B447" s="56"/>
      <c r="C447" s="56"/>
      <c r="D447" s="1"/>
      <c r="E447" s="1"/>
      <c r="F447" s="1"/>
      <c r="G447" s="4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56"/>
      <c r="B448" s="56"/>
      <c r="C448" s="56"/>
      <c r="D448" s="1"/>
      <c r="E448" s="1"/>
      <c r="F448" s="1"/>
      <c r="G448" s="4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56"/>
      <c r="B449" s="56"/>
      <c r="C449" s="56"/>
      <c r="D449" s="1"/>
      <c r="E449" s="1"/>
      <c r="F449" s="1"/>
      <c r="G449" s="4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56"/>
      <c r="B450" s="56"/>
      <c r="C450" s="56"/>
      <c r="D450" s="1"/>
      <c r="E450" s="1"/>
      <c r="F450" s="1"/>
      <c r="G450" s="4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56"/>
      <c r="B451" s="56"/>
      <c r="C451" s="56"/>
      <c r="D451" s="1"/>
      <c r="E451" s="1"/>
      <c r="F451" s="1"/>
      <c r="G451" s="4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56"/>
      <c r="B452" s="56"/>
      <c r="C452" s="56"/>
      <c r="D452" s="1"/>
      <c r="E452" s="1"/>
      <c r="F452" s="1"/>
      <c r="G452" s="4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56"/>
      <c r="B453" s="56"/>
      <c r="C453" s="56"/>
      <c r="D453" s="1"/>
      <c r="E453" s="1"/>
      <c r="F453" s="1"/>
      <c r="G453" s="4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56"/>
      <c r="B454" s="56"/>
      <c r="C454" s="56"/>
      <c r="D454" s="1"/>
      <c r="E454" s="1"/>
      <c r="F454" s="1"/>
      <c r="G454" s="4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56"/>
      <c r="B455" s="56"/>
      <c r="C455" s="56"/>
      <c r="D455" s="1"/>
      <c r="E455" s="1"/>
      <c r="F455" s="1"/>
      <c r="G455" s="4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56"/>
      <c r="B456" s="56"/>
      <c r="C456" s="56"/>
      <c r="D456" s="1"/>
      <c r="E456" s="1"/>
      <c r="F456" s="1"/>
      <c r="G456" s="4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56"/>
      <c r="B457" s="56"/>
      <c r="C457" s="56"/>
      <c r="D457" s="1"/>
      <c r="E457" s="1"/>
      <c r="F457" s="1"/>
      <c r="G457" s="4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56"/>
      <c r="B458" s="56"/>
      <c r="C458" s="56"/>
      <c r="D458" s="1"/>
      <c r="E458" s="1"/>
      <c r="F458" s="1"/>
      <c r="G458" s="4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56"/>
      <c r="B459" s="56"/>
      <c r="C459" s="56"/>
      <c r="D459" s="1"/>
      <c r="E459" s="1"/>
      <c r="F459" s="1"/>
      <c r="G459" s="4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56"/>
      <c r="B460" s="56"/>
      <c r="C460" s="56"/>
      <c r="D460" s="1"/>
      <c r="E460" s="1"/>
      <c r="F460" s="1"/>
      <c r="G460" s="4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56"/>
      <c r="B461" s="56"/>
      <c r="C461" s="56"/>
      <c r="D461" s="1"/>
      <c r="E461" s="1"/>
      <c r="F461" s="1"/>
      <c r="G461" s="4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56"/>
      <c r="B462" s="56"/>
      <c r="C462" s="56"/>
      <c r="D462" s="1"/>
      <c r="E462" s="1"/>
      <c r="F462" s="1"/>
      <c r="G462" s="4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56"/>
      <c r="B463" s="56"/>
      <c r="C463" s="56"/>
      <c r="D463" s="1"/>
      <c r="E463" s="1"/>
      <c r="F463" s="1"/>
      <c r="G463" s="4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56"/>
      <c r="B464" s="56"/>
      <c r="C464" s="56"/>
      <c r="D464" s="1"/>
      <c r="E464" s="1"/>
      <c r="F464" s="1"/>
      <c r="G464" s="4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56"/>
      <c r="B465" s="56"/>
      <c r="C465" s="56"/>
      <c r="D465" s="1"/>
      <c r="E465" s="1"/>
      <c r="F465" s="1"/>
      <c r="G465" s="4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56"/>
      <c r="B466" s="56"/>
      <c r="C466" s="56"/>
      <c r="D466" s="1"/>
      <c r="E466" s="1"/>
      <c r="F466" s="1"/>
      <c r="G466" s="4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56"/>
      <c r="B467" s="56"/>
      <c r="C467" s="56"/>
      <c r="D467" s="1"/>
      <c r="E467" s="1"/>
      <c r="F467" s="1"/>
      <c r="G467" s="4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56"/>
      <c r="B468" s="56"/>
      <c r="C468" s="56"/>
      <c r="D468" s="1"/>
      <c r="E468" s="1"/>
      <c r="F468" s="1"/>
      <c r="G468" s="4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56"/>
      <c r="B469" s="56"/>
      <c r="C469" s="56"/>
      <c r="D469" s="1"/>
      <c r="E469" s="1"/>
      <c r="F469" s="1"/>
      <c r="G469" s="4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56"/>
      <c r="B470" s="56"/>
      <c r="C470" s="56"/>
      <c r="D470" s="1"/>
      <c r="E470" s="1"/>
      <c r="F470" s="1"/>
      <c r="G470" s="4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56"/>
      <c r="B471" s="56"/>
      <c r="C471" s="56"/>
      <c r="D471" s="1"/>
      <c r="E471" s="1"/>
      <c r="F471" s="1"/>
      <c r="G471" s="4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56"/>
      <c r="B472" s="56"/>
      <c r="C472" s="56"/>
      <c r="D472" s="1"/>
      <c r="E472" s="1"/>
      <c r="F472" s="1"/>
      <c r="G472" s="4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56"/>
      <c r="B473" s="56"/>
      <c r="C473" s="56"/>
      <c r="D473" s="1"/>
      <c r="E473" s="1"/>
      <c r="F473" s="1"/>
      <c r="G473" s="4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56"/>
      <c r="B474" s="56"/>
      <c r="C474" s="56"/>
      <c r="D474" s="1"/>
      <c r="E474" s="1"/>
      <c r="F474" s="1"/>
      <c r="G474" s="4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56"/>
      <c r="B475" s="56"/>
      <c r="C475" s="56"/>
      <c r="D475" s="1"/>
      <c r="E475" s="1"/>
      <c r="F475" s="1"/>
      <c r="G475" s="4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56"/>
      <c r="B476" s="56"/>
      <c r="C476" s="56"/>
      <c r="D476" s="1"/>
      <c r="E476" s="1"/>
      <c r="F476" s="1"/>
      <c r="G476" s="4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56"/>
      <c r="B477" s="56"/>
      <c r="C477" s="56"/>
      <c r="D477" s="1"/>
      <c r="E477" s="1"/>
      <c r="F477" s="1"/>
      <c r="G477" s="4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56"/>
      <c r="B478" s="56"/>
      <c r="C478" s="56"/>
      <c r="D478" s="1"/>
      <c r="E478" s="1"/>
      <c r="F478" s="1"/>
      <c r="G478" s="4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56"/>
      <c r="B479" s="56"/>
      <c r="C479" s="56"/>
      <c r="D479" s="1"/>
      <c r="E479" s="1"/>
      <c r="F479" s="1"/>
      <c r="G479" s="4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56"/>
      <c r="B480" s="56"/>
      <c r="C480" s="56"/>
      <c r="D480" s="1"/>
      <c r="E480" s="1"/>
      <c r="F480" s="1"/>
      <c r="G480" s="4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56"/>
      <c r="B481" s="56"/>
      <c r="C481" s="56"/>
      <c r="D481" s="1"/>
      <c r="E481" s="1"/>
      <c r="F481" s="1"/>
      <c r="G481" s="4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56"/>
      <c r="B482" s="56"/>
      <c r="C482" s="56"/>
      <c r="D482" s="1"/>
      <c r="E482" s="1"/>
      <c r="F482" s="1"/>
      <c r="G482" s="4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56"/>
      <c r="B483" s="56"/>
      <c r="C483" s="56"/>
      <c r="D483" s="1"/>
      <c r="E483" s="1"/>
      <c r="F483" s="1"/>
      <c r="G483" s="4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56"/>
      <c r="B484" s="56"/>
      <c r="C484" s="56"/>
      <c r="D484" s="1"/>
      <c r="E484" s="1"/>
      <c r="F484" s="1"/>
      <c r="G484" s="4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56"/>
      <c r="B485" s="56"/>
      <c r="C485" s="56"/>
      <c r="D485" s="1"/>
      <c r="E485" s="1"/>
      <c r="F485" s="1"/>
      <c r="G485" s="4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56"/>
      <c r="B486" s="56"/>
      <c r="C486" s="56"/>
      <c r="D486" s="1"/>
      <c r="E486" s="1"/>
      <c r="F486" s="1"/>
      <c r="G486" s="4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56"/>
      <c r="B487" s="56"/>
      <c r="C487" s="56"/>
      <c r="D487" s="1"/>
      <c r="E487" s="1"/>
      <c r="F487" s="1"/>
      <c r="G487" s="4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56"/>
      <c r="B488" s="56"/>
      <c r="C488" s="56"/>
      <c r="D488" s="1"/>
      <c r="E488" s="1"/>
      <c r="F488" s="1"/>
      <c r="G488" s="4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56"/>
      <c r="B489" s="56"/>
      <c r="C489" s="56"/>
      <c r="D489" s="1"/>
      <c r="E489" s="1"/>
      <c r="F489" s="1"/>
      <c r="G489" s="4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56"/>
      <c r="B490" s="56"/>
      <c r="C490" s="56"/>
      <c r="D490" s="1"/>
      <c r="E490" s="1"/>
      <c r="F490" s="1"/>
      <c r="G490" s="4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56"/>
      <c r="B491" s="56"/>
      <c r="C491" s="56"/>
      <c r="D491" s="1"/>
      <c r="E491" s="1"/>
      <c r="F491" s="1"/>
      <c r="G491" s="4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56"/>
      <c r="B492" s="56"/>
      <c r="C492" s="56"/>
      <c r="D492" s="1"/>
      <c r="E492" s="1"/>
      <c r="F492" s="1"/>
      <c r="G492" s="4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56"/>
      <c r="B493" s="56"/>
      <c r="C493" s="56"/>
      <c r="D493" s="1"/>
      <c r="E493" s="1"/>
      <c r="F493" s="1"/>
      <c r="G493" s="4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56"/>
      <c r="B494" s="56"/>
      <c r="C494" s="56"/>
      <c r="D494" s="1"/>
      <c r="E494" s="1"/>
      <c r="F494" s="1"/>
      <c r="G494" s="4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56"/>
      <c r="B495" s="56"/>
      <c r="C495" s="56"/>
      <c r="D495" s="1"/>
      <c r="E495" s="1"/>
      <c r="F495" s="1"/>
      <c r="G495" s="4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56"/>
      <c r="B496" s="56"/>
      <c r="C496" s="56"/>
      <c r="D496" s="1"/>
      <c r="E496" s="1"/>
      <c r="F496" s="1"/>
      <c r="G496" s="4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56"/>
      <c r="B497" s="56"/>
      <c r="C497" s="56"/>
      <c r="D497" s="1"/>
      <c r="E497" s="1"/>
      <c r="F497" s="1"/>
      <c r="G497" s="4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56"/>
      <c r="B498" s="56"/>
      <c r="C498" s="56"/>
      <c r="D498" s="1"/>
      <c r="E498" s="1"/>
      <c r="F498" s="1"/>
      <c r="G498" s="4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56"/>
      <c r="B499" s="56"/>
      <c r="C499" s="56"/>
      <c r="D499" s="1"/>
      <c r="E499" s="1"/>
      <c r="F499" s="1"/>
      <c r="G499" s="4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56"/>
      <c r="B500" s="56"/>
      <c r="C500" s="56"/>
      <c r="D500" s="1"/>
      <c r="E500" s="1"/>
      <c r="F500" s="1"/>
      <c r="G500" s="4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56"/>
      <c r="B501" s="56"/>
      <c r="C501" s="56"/>
      <c r="D501" s="1"/>
      <c r="E501" s="1"/>
      <c r="F501" s="1"/>
      <c r="G501" s="4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56"/>
      <c r="B502" s="56"/>
      <c r="C502" s="56"/>
      <c r="D502" s="1"/>
      <c r="E502" s="1"/>
      <c r="F502" s="1"/>
      <c r="G502" s="4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56"/>
      <c r="B503" s="56"/>
      <c r="C503" s="56"/>
      <c r="D503" s="1"/>
      <c r="E503" s="1"/>
      <c r="F503" s="1"/>
      <c r="G503" s="4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56"/>
      <c r="B504" s="56"/>
      <c r="C504" s="56"/>
      <c r="D504" s="1"/>
      <c r="E504" s="1"/>
      <c r="F504" s="1"/>
      <c r="G504" s="4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56"/>
      <c r="B505" s="56"/>
      <c r="C505" s="56"/>
      <c r="D505" s="1"/>
      <c r="E505" s="1"/>
      <c r="F505" s="1"/>
      <c r="G505" s="4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56"/>
      <c r="B506" s="56"/>
      <c r="C506" s="56"/>
      <c r="D506" s="1"/>
      <c r="E506" s="1"/>
      <c r="F506" s="1"/>
      <c r="G506" s="4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56"/>
      <c r="B507" s="56"/>
      <c r="C507" s="56"/>
      <c r="D507" s="1"/>
      <c r="E507" s="1"/>
      <c r="F507" s="1"/>
      <c r="G507" s="4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56"/>
      <c r="B508" s="56"/>
      <c r="C508" s="56"/>
      <c r="D508" s="1"/>
      <c r="E508" s="1"/>
      <c r="F508" s="1"/>
      <c r="G508" s="4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56"/>
      <c r="B509" s="56"/>
      <c r="C509" s="56"/>
      <c r="D509" s="1"/>
      <c r="E509" s="1"/>
      <c r="F509" s="1"/>
      <c r="G509" s="4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56"/>
      <c r="B510" s="56"/>
      <c r="C510" s="56"/>
      <c r="D510" s="1"/>
      <c r="E510" s="1"/>
      <c r="F510" s="1"/>
      <c r="G510" s="4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56"/>
      <c r="B511" s="56"/>
      <c r="C511" s="56"/>
      <c r="D511" s="1"/>
      <c r="E511" s="1"/>
      <c r="F511" s="1"/>
      <c r="G511" s="4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56"/>
      <c r="B512" s="56"/>
      <c r="C512" s="56"/>
      <c r="D512" s="1"/>
      <c r="E512" s="1"/>
      <c r="F512" s="1"/>
      <c r="G512" s="4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56"/>
      <c r="B513" s="56"/>
      <c r="C513" s="56"/>
      <c r="D513" s="1"/>
      <c r="E513" s="1"/>
      <c r="F513" s="1"/>
      <c r="G513" s="4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56"/>
      <c r="B514" s="56"/>
      <c r="C514" s="56"/>
      <c r="D514" s="1"/>
      <c r="E514" s="1"/>
      <c r="F514" s="1"/>
      <c r="G514" s="4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56"/>
      <c r="B515" s="56"/>
      <c r="C515" s="56"/>
      <c r="D515" s="1"/>
      <c r="E515" s="1"/>
      <c r="F515" s="1"/>
      <c r="G515" s="4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56"/>
      <c r="B516" s="56"/>
      <c r="C516" s="56"/>
      <c r="D516" s="1"/>
      <c r="E516" s="1"/>
      <c r="F516" s="1"/>
      <c r="G516" s="4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56"/>
      <c r="B517" s="56"/>
      <c r="C517" s="56"/>
      <c r="D517" s="1"/>
      <c r="E517" s="1"/>
      <c r="F517" s="1"/>
      <c r="G517" s="4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56"/>
      <c r="B518" s="56"/>
      <c r="C518" s="56"/>
      <c r="D518" s="1"/>
      <c r="E518" s="1"/>
      <c r="F518" s="1"/>
      <c r="G518" s="4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56"/>
      <c r="B519" s="56"/>
      <c r="C519" s="56"/>
      <c r="D519" s="1"/>
      <c r="E519" s="1"/>
      <c r="F519" s="1"/>
      <c r="G519" s="4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56"/>
      <c r="B520" s="56"/>
      <c r="C520" s="56"/>
      <c r="D520" s="1"/>
      <c r="E520" s="1"/>
      <c r="F520" s="1"/>
      <c r="G520" s="4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56"/>
      <c r="B521" s="56"/>
      <c r="C521" s="56"/>
      <c r="D521" s="1"/>
      <c r="E521" s="1"/>
      <c r="F521" s="1"/>
      <c r="G521" s="4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4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4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4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4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4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4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4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4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4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4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4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4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4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4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4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4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4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4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4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4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4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4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4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4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4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4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4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4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4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4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4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4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4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4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4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4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4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4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4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4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4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4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4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4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4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4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4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4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4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4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4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4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4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4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4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4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4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4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4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4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4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4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4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4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4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4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4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4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4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4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4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4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4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4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4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4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4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4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4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4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4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4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4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4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4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4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4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4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4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4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4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4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4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4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4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4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4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4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4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4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4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4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4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4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4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4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4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4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4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4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4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4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4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4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4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4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</sheetData>
  <mergeCells count="9">
    <mergeCell ref="E14:H14"/>
    <mergeCell ref="I14:K14"/>
    <mergeCell ref="A1:K1"/>
    <mergeCell ref="A4:C4"/>
    <mergeCell ref="D4:K4"/>
    <mergeCell ref="A14:A15"/>
    <mergeCell ref="B14:B15"/>
    <mergeCell ref="C14:C15"/>
    <mergeCell ref="D14:D15"/>
  </mergeCells>
  <dataValidations>
    <dataValidation type="list" allowBlank="1" showErrorMessage="1" sqref="G16:G30 I16:I30">
      <formula1>"0,0.25,0.50,0.75,1.0"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0"/>
    <col customWidth="1" min="3" max="3" width="18.38"/>
    <col customWidth="1" min="4" max="4" width="45.88"/>
  </cols>
  <sheetData>
    <row r="1">
      <c r="A1" s="129"/>
      <c r="B1" s="129" t="s">
        <v>182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8"/>
      <c r="B2" s="50" t="s">
        <v>183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8"/>
      <c r="B3" s="50" t="s">
        <v>184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8"/>
      <c r="B4" s="50" t="s">
        <v>185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/>
      <c r="B5" s="50" t="s">
        <v>186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"/>
      <c r="B6" s="50" t="s">
        <v>187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/>
      <c r="B7" s="50" t="s">
        <v>188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56"/>
      <c r="B8" s="56"/>
      <c r="C8" s="56"/>
      <c r="D8" s="5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0"/>
      <c r="B9" s="130" t="s">
        <v>123</v>
      </c>
      <c r="E9" s="1"/>
      <c r="F9" s="1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/>
      <c r="B10" s="8" t="s">
        <v>189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55"/>
      <c r="B11" s="55"/>
      <c r="C11" s="56"/>
      <c r="D11" s="5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2"/>
      <c r="B12" s="132" t="s">
        <v>142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/>
      <c r="B13" s="8" t="s">
        <v>190</v>
      </c>
      <c r="C13" s="133"/>
      <c r="D13" s="133"/>
      <c r="E13" s="134"/>
      <c r="F13" s="134"/>
      <c r="G13" s="134"/>
      <c r="H13" s="134"/>
      <c r="I13" s="134"/>
      <c r="J13" s="13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/>
      <c r="B14" s="8" t="s">
        <v>143</v>
      </c>
      <c r="E14" s="134"/>
      <c r="F14" s="134"/>
      <c r="G14" s="134"/>
      <c r="H14" s="134"/>
      <c r="I14" s="134"/>
      <c r="J14" s="13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/>
      <c r="B15" s="8" t="s">
        <v>191</v>
      </c>
      <c r="D15" s="133"/>
      <c r="E15" s="134"/>
      <c r="F15" s="134"/>
      <c r="G15" s="134"/>
      <c r="H15" s="134"/>
      <c r="I15" s="134"/>
      <c r="J15" s="13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5"/>
      <c r="B16" s="136" t="s">
        <v>98</v>
      </c>
      <c r="C16" s="137" t="s">
        <v>192</v>
      </c>
      <c r="D16" s="26"/>
      <c r="E16" s="134"/>
      <c r="F16" s="134"/>
      <c r="G16" s="134"/>
      <c r="H16" s="134"/>
      <c r="I16" s="134"/>
      <c r="J16" s="13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8"/>
      <c r="B17" s="139">
        <v>0.0</v>
      </c>
      <c r="C17" s="140" t="s">
        <v>193</v>
      </c>
      <c r="D17" s="26"/>
      <c r="E17" s="134"/>
      <c r="F17" s="134"/>
      <c r="G17" s="134"/>
      <c r="H17" s="134"/>
      <c r="I17" s="134"/>
      <c r="J17" s="13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8"/>
      <c r="B18" s="139">
        <v>0.25</v>
      </c>
      <c r="C18" s="140" t="s">
        <v>194</v>
      </c>
      <c r="D18" s="26"/>
      <c r="E18" s="134"/>
      <c r="F18" s="134"/>
      <c r="G18" s="134"/>
      <c r="H18" s="134"/>
      <c r="I18" s="134"/>
      <c r="J18" s="13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8"/>
      <c r="B19" s="139">
        <v>0.5</v>
      </c>
      <c r="C19" s="140" t="s">
        <v>195</v>
      </c>
      <c r="D19" s="26"/>
      <c r="E19" s="134"/>
      <c r="F19" s="134"/>
      <c r="G19" s="134"/>
      <c r="H19" s="134"/>
      <c r="I19" s="134"/>
      <c r="J19" s="13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8"/>
      <c r="B20" s="139">
        <v>0.75</v>
      </c>
      <c r="C20" s="140" t="s">
        <v>196</v>
      </c>
      <c r="D20" s="26"/>
      <c r="E20" s="134"/>
      <c r="F20" s="134"/>
      <c r="G20" s="134"/>
      <c r="H20" s="134"/>
      <c r="I20" s="134"/>
      <c r="J20" s="13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41"/>
      <c r="B21" s="142">
        <v>1.0</v>
      </c>
      <c r="C21" s="140" t="s">
        <v>197</v>
      </c>
      <c r="D21" s="26"/>
      <c r="E21" s="134"/>
      <c r="F21" s="134"/>
      <c r="G21" s="134"/>
      <c r="H21" s="134"/>
      <c r="I21" s="134"/>
      <c r="J21" s="13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43"/>
      <c r="B22" s="143" t="s">
        <v>198</v>
      </c>
      <c r="C22" s="144">
        <v>0.75</v>
      </c>
      <c r="D22" s="8"/>
      <c r="E22" s="134"/>
      <c r="F22" s="134"/>
      <c r="G22" s="134"/>
      <c r="H22" s="134"/>
      <c r="I22" s="134"/>
      <c r="J22" s="13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8"/>
      <c r="B23" s="8" t="s">
        <v>199</v>
      </c>
      <c r="E23" s="134"/>
      <c r="F23" s="134"/>
      <c r="G23" s="134"/>
      <c r="H23" s="134"/>
      <c r="I23" s="134"/>
      <c r="J23" s="13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3"/>
      <c r="B24" s="133"/>
      <c r="C24" s="8" t="s">
        <v>200</v>
      </c>
      <c r="D24" s="145" t="s">
        <v>201</v>
      </c>
      <c r="E24" s="134"/>
      <c r="F24" s="134"/>
      <c r="G24" s="134"/>
      <c r="H24" s="134"/>
      <c r="I24" s="134"/>
      <c r="J24" s="13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3"/>
      <c r="B25" s="133"/>
      <c r="C25" s="133"/>
      <c r="D25" s="145"/>
      <c r="E25" s="134"/>
      <c r="F25" s="134"/>
      <c r="G25" s="134"/>
      <c r="H25" s="134"/>
      <c r="I25" s="134"/>
      <c r="J25" s="13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3"/>
      <c r="B26" s="133"/>
      <c r="C26" s="133"/>
      <c r="D26" s="133"/>
      <c r="E26" s="134"/>
      <c r="F26" s="134"/>
      <c r="G26" s="134"/>
      <c r="H26" s="134"/>
      <c r="I26" s="134"/>
      <c r="J26" s="13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8"/>
      <c r="B27" s="8" t="s">
        <v>202</v>
      </c>
      <c r="D27" s="133"/>
      <c r="E27" s="134"/>
      <c r="F27" s="134"/>
      <c r="G27" s="134"/>
      <c r="H27" s="134"/>
      <c r="I27" s="134"/>
      <c r="J27" s="13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8"/>
      <c r="B28" s="8" t="s">
        <v>203</v>
      </c>
      <c r="E28" s="134"/>
      <c r="F28" s="134"/>
      <c r="G28" s="134"/>
      <c r="H28" s="134"/>
      <c r="I28" s="134"/>
      <c r="J28" s="13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3"/>
      <c r="B29" s="133"/>
      <c r="C29" s="8" t="s">
        <v>204</v>
      </c>
      <c r="D29" s="146"/>
      <c r="E29" s="134"/>
      <c r="F29" s="134"/>
      <c r="G29" s="134"/>
      <c r="H29" s="134"/>
      <c r="I29" s="134"/>
      <c r="J29" s="13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3"/>
      <c r="B30" s="133"/>
      <c r="C30" s="133"/>
      <c r="D30" s="133"/>
      <c r="E30" s="134"/>
      <c r="F30" s="134"/>
      <c r="G30" s="134"/>
      <c r="H30" s="134"/>
      <c r="I30" s="134"/>
      <c r="J30" s="13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8"/>
      <c r="B31" s="8" t="s">
        <v>205</v>
      </c>
      <c r="D31" s="133"/>
      <c r="E31" s="134"/>
      <c r="F31" s="134"/>
      <c r="G31" s="134"/>
      <c r="H31" s="134"/>
      <c r="I31" s="134"/>
      <c r="J31" s="13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47"/>
      <c r="B32" s="147" t="s">
        <v>206</v>
      </c>
      <c r="C32" s="8" t="s">
        <v>207</v>
      </c>
      <c r="E32" s="134"/>
      <c r="F32" s="134"/>
      <c r="G32" s="134"/>
      <c r="H32" s="134"/>
      <c r="I32" s="134"/>
      <c r="J32" s="13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48"/>
      <c r="B33" s="148"/>
      <c r="C33" s="8" t="s">
        <v>208</v>
      </c>
      <c r="E33" s="134"/>
      <c r="F33" s="134"/>
      <c r="G33" s="134"/>
      <c r="H33" s="134"/>
      <c r="I33" s="134"/>
      <c r="J33" s="13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3"/>
      <c r="B34" s="133"/>
      <c r="C34" s="8" t="s">
        <v>209</v>
      </c>
      <c r="E34" s="134"/>
      <c r="F34" s="134"/>
      <c r="G34" s="134"/>
      <c r="H34" s="134"/>
      <c r="I34" s="134"/>
      <c r="J34" s="13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3"/>
      <c r="B35" s="133"/>
      <c r="C35" s="8" t="s">
        <v>210</v>
      </c>
      <c r="E35" s="134"/>
      <c r="F35" s="134"/>
      <c r="G35" s="134"/>
      <c r="H35" s="134"/>
      <c r="I35" s="134"/>
      <c r="J35" s="13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3"/>
      <c r="B36" s="133"/>
      <c r="C36" s="8" t="s">
        <v>211</v>
      </c>
      <c r="D36" s="146"/>
      <c r="E36" s="134"/>
      <c r="F36" s="134"/>
      <c r="G36" s="134"/>
      <c r="H36" s="134"/>
      <c r="I36" s="134"/>
      <c r="J36" s="13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3"/>
      <c r="B37" s="133"/>
      <c r="C37" s="133"/>
      <c r="D37" s="133"/>
      <c r="E37" s="134"/>
      <c r="F37" s="134"/>
      <c r="G37" s="134"/>
      <c r="H37" s="134"/>
      <c r="I37" s="134"/>
      <c r="J37" s="1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2"/>
      <c r="B38" s="132" t="s">
        <v>145</v>
      </c>
      <c r="E38" s="134"/>
      <c r="F38" s="134"/>
      <c r="G38" s="134"/>
      <c r="H38" s="134"/>
      <c r="I38" s="134"/>
      <c r="J38" s="13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8"/>
      <c r="B39" s="8" t="s">
        <v>190</v>
      </c>
      <c r="C39" s="133"/>
      <c r="D39" s="13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8"/>
      <c r="B40" s="8" t="s">
        <v>146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8"/>
      <c r="B41" s="8" t="s">
        <v>191</v>
      </c>
      <c r="D41" s="13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35"/>
      <c r="B42" s="136" t="s">
        <v>98</v>
      </c>
      <c r="C42" s="137" t="s">
        <v>192</v>
      </c>
      <c r="D42" s="2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38"/>
      <c r="B43" s="139">
        <v>0.0</v>
      </c>
      <c r="C43" s="140" t="s">
        <v>212</v>
      </c>
      <c r="D43" s="2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38"/>
      <c r="B44" s="139">
        <v>0.25</v>
      </c>
      <c r="C44" s="140" t="s">
        <v>213</v>
      </c>
      <c r="D44" s="2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38"/>
      <c r="B45" s="139">
        <v>0.5</v>
      </c>
      <c r="C45" s="140" t="s">
        <v>214</v>
      </c>
      <c r="D45" s="2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38"/>
      <c r="B46" s="139">
        <v>0.75</v>
      </c>
      <c r="C46" s="140" t="s">
        <v>215</v>
      </c>
      <c r="D46" s="2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41"/>
      <c r="B47" s="142">
        <v>1.0</v>
      </c>
      <c r="C47" s="140" t="s">
        <v>216</v>
      </c>
      <c r="D47" s="2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43"/>
      <c r="B48" s="143" t="s">
        <v>198</v>
      </c>
      <c r="C48" s="144"/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49"/>
      <c r="B49" s="149" t="s">
        <v>217</v>
      </c>
      <c r="C49" s="8" t="s">
        <v>218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48"/>
      <c r="B50" s="148"/>
      <c r="C50" s="8" t="s">
        <v>200</v>
      </c>
      <c r="D50" s="14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3"/>
      <c r="B51" s="133"/>
      <c r="C51" s="133"/>
      <c r="D51" s="1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8"/>
      <c r="B52" s="8" t="s">
        <v>202</v>
      </c>
      <c r="D52" s="1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8"/>
      <c r="B53" s="8" t="s">
        <v>219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48"/>
      <c r="B54" s="148"/>
      <c r="C54" s="8" t="s">
        <v>204</v>
      </c>
      <c r="D54" s="14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33"/>
      <c r="B55" s="133"/>
      <c r="C55" s="133"/>
      <c r="D55" s="1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8"/>
      <c r="B56" s="8" t="s">
        <v>205</v>
      </c>
      <c r="D56" s="1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47"/>
      <c r="B57" s="147" t="s">
        <v>206</v>
      </c>
      <c r="C57" s="8" t="s">
        <v>220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48"/>
      <c r="B58" s="148"/>
      <c r="C58" s="8" t="s">
        <v>221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33"/>
      <c r="B59" s="133"/>
      <c r="C59" s="8" t="s">
        <v>222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33"/>
      <c r="B60" s="133"/>
      <c r="C60" s="8" t="s">
        <v>223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33"/>
      <c r="B61" s="133"/>
      <c r="C61" s="8" t="s">
        <v>211</v>
      </c>
      <c r="D61" s="1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56"/>
      <c r="B62" s="56"/>
      <c r="C62" s="56"/>
      <c r="D62" s="5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32"/>
      <c r="B63" s="132" t="s">
        <v>148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8"/>
      <c r="B64" s="8" t="s">
        <v>190</v>
      </c>
      <c r="C64" s="133"/>
      <c r="D64" s="1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8"/>
      <c r="B65" s="8" t="s">
        <v>149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8"/>
      <c r="B66" s="8" t="s">
        <v>191</v>
      </c>
      <c r="C66" s="133"/>
      <c r="D66" s="1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35"/>
      <c r="B67" s="136" t="s">
        <v>98</v>
      </c>
      <c r="C67" s="137" t="s">
        <v>192</v>
      </c>
      <c r="D67" s="2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38"/>
      <c r="B68" s="139">
        <v>0.0</v>
      </c>
      <c r="C68" s="140" t="s">
        <v>224</v>
      </c>
      <c r="D68" s="2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38"/>
      <c r="B69" s="139">
        <v>0.25</v>
      </c>
      <c r="C69" s="140" t="s">
        <v>225</v>
      </c>
      <c r="D69" s="2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38"/>
      <c r="B70" s="139">
        <v>0.5</v>
      </c>
      <c r="C70" s="140" t="s">
        <v>226</v>
      </c>
      <c r="D70" s="2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38"/>
      <c r="B71" s="139">
        <v>0.75</v>
      </c>
      <c r="C71" s="140" t="s">
        <v>227</v>
      </c>
      <c r="D71" s="2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41"/>
      <c r="B72" s="142">
        <v>1.0</v>
      </c>
      <c r="C72" s="140" t="s">
        <v>228</v>
      </c>
      <c r="D72" s="2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43"/>
      <c r="B73" s="143" t="s">
        <v>198</v>
      </c>
      <c r="C73" s="144"/>
      <c r="D73" s="1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49"/>
      <c r="B74" s="149" t="s">
        <v>217</v>
      </c>
      <c r="C74" s="8" t="s">
        <v>229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48"/>
      <c r="B75" s="148"/>
      <c r="C75" s="8" t="s">
        <v>200</v>
      </c>
      <c r="D75" s="1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8"/>
      <c r="B76" s="8"/>
      <c r="C76" s="133"/>
      <c r="D76" s="1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8"/>
      <c r="B77" s="8" t="s">
        <v>202</v>
      </c>
      <c r="D77" s="1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8"/>
      <c r="B78" s="8" t="s">
        <v>230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50"/>
      <c r="B79" s="150"/>
      <c r="C79" s="8" t="s">
        <v>204</v>
      </c>
      <c r="D79" s="1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48"/>
      <c r="B80" s="148"/>
      <c r="C80" s="133"/>
      <c r="D80" s="1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8"/>
      <c r="B81" s="8" t="s">
        <v>205</v>
      </c>
      <c r="D81" s="1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47"/>
      <c r="B82" s="147" t="s">
        <v>206</v>
      </c>
      <c r="C82" s="8" t="s">
        <v>231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50"/>
      <c r="B83" s="150"/>
      <c r="C83" s="8" t="s">
        <v>232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50"/>
      <c r="B84" s="150"/>
      <c r="C84" s="8" t="s">
        <v>233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50"/>
      <c r="B85" s="150"/>
      <c r="C85" s="8" t="s">
        <v>234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50"/>
      <c r="B86" s="150"/>
      <c r="C86" s="8" t="s">
        <v>211</v>
      </c>
      <c r="D86" s="14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51"/>
      <c r="B87" s="151"/>
      <c r="C87" s="56"/>
      <c r="D87" s="5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32"/>
      <c r="B88" s="132" t="s">
        <v>151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8"/>
      <c r="B89" s="8" t="s">
        <v>190</v>
      </c>
      <c r="C89" s="133"/>
      <c r="D89" s="1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9"/>
      <c r="B90" s="9" t="s">
        <v>152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8"/>
      <c r="B91" s="8" t="s">
        <v>191</v>
      </c>
      <c r="C91" s="133"/>
      <c r="D91" s="1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35"/>
      <c r="B92" s="152" t="s">
        <v>98</v>
      </c>
      <c r="C92" s="153" t="s">
        <v>192</v>
      </c>
      <c r="D92" s="15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38"/>
      <c r="B93" s="155">
        <v>0.0</v>
      </c>
      <c r="C93" s="156" t="s">
        <v>235</v>
      </c>
      <c r="D93" s="15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38"/>
      <c r="B94" s="155">
        <v>0.25</v>
      </c>
      <c r="C94" s="156" t="s">
        <v>236</v>
      </c>
      <c r="D94" s="15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38"/>
      <c r="B95" s="155">
        <v>0.5</v>
      </c>
      <c r="C95" s="158" t="s">
        <v>237</v>
      </c>
      <c r="D95" s="15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38"/>
      <c r="B96" s="155">
        <v>0.75</v>
      </c>
      <c r="C96" s="156" t="s">
        <v>238</v>
      </c>
      <c r="D96" s="15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41"/>
      <c r="B97" s="159">
        <v>1.0</v>
      </c>
      <c r="C97" s="156" t="s">
        <v>239</v>
      </c>
      <c r="D97" s="15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43"/>
      <c r="B98" s="143" t="s">
        <v>198</v>
      </c>
      <c r="C98" s="144"/>
      <c r="D98" s="1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49"/>
      <c r="B99" s="149" t="s">
        <v>217</v>
      </c>
      <c r="C99" s="8" t="s">
        <v>240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48"/>
      <c r="B100" s="148"/>
      <c r="C100" s="8" t="s">
        <v>200</v>
      </c>
      <c r="D100" s="14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8"/>
      <c r="B101" s="8" t="s">
        <v>202</v>
      </c>
      <c r="D101" s="1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8"/>
      <c r="B102" s="8" t="s">
        <v>241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C103" s="8" t="s">
        <v>204</v>
      </c>
      <c r="D103" s="1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51"/>
      <c r="B104" s="151"/>
      <c r="C104" s="56"/>
      <c r="D104" s="5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8"/>
      <c r="B105" s="8" t="s">
        <v>205</v>
      </c>
      <c r="D105" s="1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60"/>
      <c r="B106" s="160" t="s">
        <v>206</v>
      </c>
      <c r="C106" s="8" t="s">
        <v>242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50"/>
      <c r="B107" s="150"/>
      <c r="C107" s="8" t="s">
        <v>243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50"/>
      <c r="B108" s="150"/>
      <c r="C108" s="8" t="s">
        <v>244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50"/>
      <c r="B109" s="150"/>
      <c r="C109" s="8" t="s">
        <v>245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C110" s="8" t="s">
        <v>211</v>
      </c>
      <c r="D110" s="14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51"/>
      <c r="B111" s="151"/>
      <c r="C111" s="56"/>
      <c r="D111" s="5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32"/>
      <c r="B112" s="132" t="s">
        <v>154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8"/>
      <c r="B113" s="8" t="s">
        <v>190</v>
      </c>
      <c r="C113" s="133"/>
      <c r="D113" s="1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8"/>
      <c r="B114" s="8" t="s">
        <v>155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8"/>
      <c r="B115" s="8" t="s">
        <v>191</v>
      </c>
      <c r="C115" s="133"/>
      <c r="D115" s="1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35"/>
      <c r="B116" s="161" t="s">
        <v>98</v>
      </c>
      <c r="C116" s="162" t="s">
        <v>192</v>
      </c>
      <c r="D116" s="15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38"/>
      <c r="B117" s="155">
        <v>0.0</v>
      </c>
      <c r="C117" s="156" t="s">
        <v>246</v>
      </c>
      <c r="D117" s="15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38"/>
      <c r="B118" s="155">
        <v>0.25</v>
      </c>
      <c r="C118" s="156" t="s">
        <v>247</v>
      </c>
      <c r="D118" s="15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38"/>
      <c r="B119" s="155">
        <v>0.5</v>
      </c>
      <c r="C119" s="156" t="s">
        <v>248</v>
      </c>
      <c r="D119" s="15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38"/>
      <c r="B120" s="155">
        <v>0.75</v>
      </c>
      <c r="C120" s="156" t="s">
        <v>249</v>
      </c>
      <c r="D120" s="15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41"/>
      <c r="B121" s="159">
        <v>1.0</v>
      </c>
      <c r="C121" s="156" t="s">
        <v>250</v>
      </c>
      <c r="D121" s="15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43"/>
      <c r="B122" s="143" t="s">
        <v>198</v>
      </c>
      <c r="C122" s="144"/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49"/>
      <c r="B123" s="149" t="s">
        <v>217</v>
      </c>
      <c r="C123" s="8" t="s">
        <v>251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48"/>
      <c r="B124" s="148"/>
      <c r="C124" s="8" t="s">
        <v>200</v>
      </c>
      <c r="D124" s="14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D125" s="1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8"/>
      <c r="B126" s="8" t="s">
        <v>202</v>
      </c>
      <c r="D126" s="1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8"/>
      <c r="B127" s="8" t="s">
        <v>252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48"/>
      <c r="B128" s="148"/>
      <c r="C128" s="8" t="s">
        <v>204</v>
      </c>
      <c r="D128" s="14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50"/>
      <c r="B129" s="150"/>
      <c r="C129" s="133"/>
      <c r="D129" s="1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8"/>
      <c r="B130" s="8" t="s">
        <v>205</v>
      </c>
      <c r="D130" s="1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63"/>
      <c r="B131" s="163" t="s">
        <v>206</v>
      </c>
      <c r="C131" s="8" t="s">
        <v>253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48"/>
      <c r="B132" s="148"/>
      <c r="C132" s="8" t="s">
        <v>254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50"/>
      <c r="B133" s="150"/>
      <c r="C133" s="8" t="s">
        <v>255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50"/>
      <c r="B134" s="150"/>
      <c r="C134" s="8" t="s">
        <v>256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50"/>
      <c r="B135" s="150"/>
      <c r="C135" s="8" t="s">
        <v>211</v>
      </c>
      <c r="D135" s="1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51"/>
      <c r="B136" s="151"/>
      <c r="C136" s="56"/>
      <c r="D136" s="5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32"/>
      <c r="B137" s="132" t="s">
        <v>157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8"/>
      <c r="B138" s="8" t="s">
        <v>190</v>
      </c>
      <c r="C138" s="133"/>
      <c r="D138" s="1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8"/>
      <c r="B139" s="8" t="s">
        <v>158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8"/>
      <c r="B140" s="8" t="s">
        <v>191</v>
      </c>
      <c r="C140" s="133"/>
      <c r="D140" s="1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35"/>
      <c r="B141" s="161" t="s">
        <v>98</v>
      </c>
      <c r="C141" s="162" t="s">
        <v>192</v>
      </c>
      <c r="D141" s="15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38"/>
      <c r="B142" s="155">
        <v>0.0</v>
      </c>
      <c r="C142" s="156" t="s">
        <v>257</v>
      </c>
      <c r="D142" s="15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38"/>
      <c r="B143" s="155">
        <v>0.25</v>
      </c>
      <c r="C143" s="156" t="s">
        <v>258</v>
      </c>
      <c r="D143" s="15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38"/>
      <c r="B144" s="155">
        <v>0.5</v>
      </c>
      <c r="C144" s="156" t="s">
        <v>259</v>
      </c>
      <c r="D144" s="15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38"/>
      <c r="B145" s="155">
        <v>0.75</v>
      </c>
      <c r="C145" s="156" t="s">
        <v>260</v>
      </c>
      <c r="D145" s="15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41"/>
      <c r="B146" s="159">
        <v>1.0</v>
      </c>
      <c r="C146" s="156" t="s">
        <v>261</v>
      </c>
      <c r="D146" s="15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43"/>
      <c r="B147" s="143" t="s">
        <v>198</v>
      </c>
      <c r="C147" s="144"/>
      <c r="D147" s="1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49"/>
      <c r="B148" s="149" t="s">
        <v>217</v>
      </c>
      <c r="C148" s="8" t="s">
        <v>262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48"/>
      <c r="B149" s="148"/>
      <c r="C149" s="8" t="s">
        <v>200</v>
      </c>
      <c r="D149" s="1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50"/>
      <c r="B150" s="150"/>
      <c r="C150" s="133"/>
      <c r="D150" s="1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8"/>
      <c r="B151" s="8" t="s">
        <v>202</v>
      </c>
      <c r="D151" s="1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8"/>
      <c r="B152" s="8" t="s">
        <v>263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48"/>
      <c r="B153" s="148"/>
      <c r="C153" s="8" t="s">
        <v>204</v>
      </c>
      <c r="D153" s="1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50"/>
      <c r="B154" s="150"/>
      <c r="C154" s="133"/>
      <c r="D154" s="1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8"/>
      <c r="B155" s="8" t="s">
        <v>205</v>
      </c>
      <c r="D155" s="1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63"/>
      <c r="B156" s="163" t="s">
        <v>206</v>
      </c>
      <c r="C156" s="8" t="s">
        <v>264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48"/>
      <c r="B157" s="148"/>
      <c r="C157" s="8" t="s">
        <v>265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50"/>
      <c r="B158" s="150"/>
      <c r="C158" s="8" t="s">
        <v>266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50"/>
      <c r="B159" s="150"/>
      <c r="C159" s="8" t="s">
        <v>267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C160" s="8" t="s">
        <v>211</v>
      </c>
      <c r="D160" s="14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32"/>
      <c r="B161" s="132"/>
      <c r="C161" s="132"/>
      <c r="D161" s="13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32"/>
      <c r="B162" s="132" t="s">
        <v>160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8"/>
      <c r="B163" s="8" t="s">
        <v>190</v>
      </c>
      <c r="C163" s="133"/>
      <c r="D163" s="1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8"/>
      <c r="B164" s="8" t="s">
        <v>161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8"/>
      <c r="B165" s="8" t="s">
        <v>191</v>
      </c>
      <c r="C165" s="133"/>
      <c r="D165" s="1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35"/>
      <c r="B166" s="161" t="s">
        <v>98</v>
      </c>
      <c r="C166" s="162" t="s">
        <v>192</v>
      </c>
      <c r="D166" s="15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38"/>
      <c r="B167" s="155">
        <v>0.0</v>
      </c>
      <c r="C167" s="156" t="s">
        <v>268</v>
      </c>
      <c r="D167" s="15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38"/>
      <c r="B168" s="155">
        <v>0.25</v>
      </c>
      <c r="C168" s="156" t="s">
        <v>269</v>
      </c>
      <c r="D168" s="15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38"/>
      <c r="B169" s="155">
        <v>0.5</v>
      </c>
      <c r="C169" s="156" t="s">
        <v>270</v>
      </c>
      <c r="D169" s="15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38"/>
      <c r="B170" s="155">
        <v>0.75</v>
      </c>
      <c r="C170" s="156" t="s">
        <v>271</v>
      </c>
      <c r="D170" s="15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41"/>
      <c r="B171" s="159">
        <v>1.0</v>
      </c>
      <c r="C171" s="156" t="s">
        <v>272</v>
      </c>
      <c r="D171" s="15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43"/>
      <c r="B172" s="143" t="s">
        <v>198</v>
      </c>
      <c r="C172" s="144"/>
      <c r="D172" s="1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49"/>
      <c r="B173" s="149" t="s">
        <v>217</v>
      </c>
      <c r="C173" s="8" t="s">
        <v>273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50"/>
      <c r="B174" s="150"/>
      <c r="C174" s="8" t="s">
        <v>200</v>
      </c>
      <c r="D174" s="14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48"/>
      <c r="B175" s="148"/>
      <c r="C175" s="133"/>
      <c r="D175" s="1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8"/>
      <c r="B176" s="8" t="s">
        <v>202</v>
      </c>
      <c r="D176" s="1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8"/>
      <c r="B177" s="8" t="s">
        <v>274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50"/>
      <c r="B178" s="150"/>
      <c r="C178" s="8" t="s">
        <v>204</v>
      </c>
      <c r="D178" s="14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48"/>
      <c r="B179" s="148"/>
      <c r="C179" s="133"/>
      <c r="D179" s="1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8"/>
      <c r="B180" s="8" t="s">
        <v>205</v>
      </c>
      <c r="D180" s="1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63"/>
      <c r="B181" s="163" t="s">
        <v>206</v>
      </c>
      <c r="C181" s="8" t="s">
        <v>275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50"/>
      <c r="B182" s="150"/>
      <c r="C182" s="8" t="s">
        <v>276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50"/>
      <c r="B183" s="150"/>
      <c r="C183" s="8" t="s">
        <v>277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50"/>
      <c r="B184" s="150"/>
      <c r="C184" s="8" t="s">
        <v>278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50"/>
      <c r="B185" s="150"/>
      <c r="C185" s="8" t="s">
        <v>211</v>
      </c>
      <c r="D185" s="1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51"/>
      <c r="B186" s="151"/>
      <c r="C186" s="56"/>
      <c r="D186" s="5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32"/>
      <c r="B187" s="132" t="s">
        <v>163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8"/>
      <c r="B188" s="8" t="s">
        <v>190</v>
      </c>
      <c r="C188" s="133"/>
      <c r="D188" s="1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8"/>
      <c r="B189" s="8" t="s">
        <v>164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8"/>
      <c r="B190" s="8" t="s">
        <v>191</v>
      </c>
      <c r="C190" s="133"/>
      <c r="D190" s="1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35"/>
      <c r="B191" s="161" t="s">
        <v>98</v>
      </c>
      <c r="C191" s="162" t="s">
        <v>192</v>
      </c>
      <c r="D191" s="15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38"/>
      <c r="B192" s="155">
        <v>0.0</v>
      </c>
      <c r="C192" s="156" t="s">
        <v>279</v>
      </c>
      <c r="D192" s="15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38"/>
      <c r="B193" s="155">
        <v>0.25</v>
      </c>
      <c r="C193" s="156" t="s">
        <v>280</v>
      </c>
      <c r="D193" s="15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38"/>
      <c r="B194" s="155">
        <v>0.5</v>
      </c>
      <c r="C194" s="156" t="s">
        <v>281</v>
      </c>
      <c r="D194" s="15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38"/>
      <c r="B195" s="155">
        <v>0.75</v>
      </c>
      <c r="C195" s="156" t="s">
        <v>282</v>
      </c>
      <c r="D195" s="15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41"/>
      <c r="B196" s="159">
        <v>1.0</v>
      </c>
      <c r="C196" s="156" t="s">
        <v>283</v>
      </c>
      <c r="D196" s="15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43"/>
      <c r="B197" s="143" t="s">
        <v>198</v>
      </c>
      <c r="C197" s="144"/>
      <c r="D197" s="1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49"/>
      <c r="B198" s="149" t="s">
        <v>217</v>
      </c>
      <c r="C198" s="8" t="s">
        <v>284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48"/>
      <c r="B199" s="148"/>
      <c r="C199" s="8" t="s">
        <v>200</v>
      </c>
      <c r="D199" s="1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50"/>
      <c r="B200" s="150"/>
      <c r="C200" s="133"/>
      <c r="D200" s="1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8"/>
      <c r="B201" s="8" t="s">
        <v>202</v>
      </c>
      <c r="D201" s="1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8"/>
      <c r="B202" s="8" t="s">
        <v>285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48"/>
      <c r="B203" s="148"/>
      <c r="C203" s="8" t="s">
        <v>204</v>
      </c>
      <c r="D203" s="1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48"/>
      <c r="B204" s="148"/>
      <c r="C204" s="133"/>
      <c r="D204" s="1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8"/>
      <c r="B205" s="8" t="s">
        <v>205</v>
      </c>
      <c r="D205" s="1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63"/>
      <c r="B206" s="163" t="s">
        <v>206</v>
      </c>
      <c r="C206" s="8" t="s">
        <v>286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50"/>
      <c r="B207" s="150"/>
      <c r="C207" s="8" t="s">
        <v>287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50"/>
      <c r="B208" s="150"/>
      <c r="C208" s="8" t="s">
        <v>288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50"/>
      <c r="B209" s="150"/>
      <c r="C209" s="8" t="s">
        <v>289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50"/>
      <c r="B210" s="150"/>
      <c r="C210" s="8" t="s">
        <v>211</v>
      </c>
      <c r="D210" s="14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51"/>
      <c r="B211" s="151"/>
      <c r="C211" s="56"/>
      <c r="D211" s="5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32"/>
      <c r="B212" s="132" t="s">
        <v>166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8"/>
      <c r="B213" s="8" t="s">
        <v>190</v>
      </c>
      <c r="C213" s="133"/>
      <c r="D213" s="1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8"/>
      <c r="B214" s="8" t="s">
        <v>167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8"/>
      <c r="B215" s="8" t="s">
        <v>191</v>
      </c>
      <c r="C215" s="133"/>
      <c r="D215" s="1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35"/>
      <c r="B216" s="161" t="s">
        <v>98</v>
      </c>
      <c r="C216" s="162" t="s">
        <v>192</v>
      </c>
      <c r="D216" s="15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38"/>
      <c r="B217" s="155">
        <v>0.0</v>
      </c>
      <c r="C217" s="156" t="s">
        <v>290</v>
      </c>
      <c r="D217" s="15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38"/>
      <c r="B218" s="155">
        <v>0.25</v>
      </c>
      <c r="C218" s="156" t="s">
        <v>291</v>
      </c>
      <c r="D218" s="15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38"/>
      <c r="B219" s="155">
        <v>0.5</v>
      </c>
      <c r="C219" s="156" t="s">
        <v>292</v>
      </c>
      <c r="D219" s="15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38"/>
      <c r="B220" s="155">
        <v>0.75</v>
      </c>
      <c r="C220" s="156" t="s">
        <v>293</v>
      </c>
      <c r="D220" s="15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41"/>
      <c r="B221" s="159">
        <v>1.0</v>
      </c>
      <c r="C221" s="156" t="s">
        <v>294</v>
      </c>
      <c r="D221" s="15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43"/>
      <c r="B222" s="143" t="s">
        <v>198</v>
      </c>
      <c r="C222" s="144"/>
      <c r="D222" s="1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49"/>
      <c r="B223" s="149" t="s">
        <v>217</v>
      </c>
      <c r="C223" s="8" t="s">
        <v>295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48"/>
      <c r="B224" s="148"/>
      <c r="C224" s="8" t="s">
        <v>200</v>
      </c>
      <c r="D224" s="14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50"/>
      <c r="B225" s="150"/>
      <c r="C225" s="133"/>
      <c r="D225" s="1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8"/>
      <c r="B226" s="8" t="s">
        <v>202</v>
      </c>
      <c r="D226" s="1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8"/>
      <c r="B227" s="8" t="s">
        <v>296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48"/>
      <c r="B228" s="148"/>
      <c r="C228" s="8" t="s">
        <v>204</v>
      </c>
      <c r="D228" s="14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50"/>
      <c r="B229" s="150"/>
      <c r="C229" s="133"/>
      <c r="D229" s="1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8"/>
      <c r="B230" s="8" t="s">
        <v>205</v>
      </c>
      <c r="D230" s="1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63"/>
      <c r="B231" s="163" t="s">
        <v>206</v>
      </c>
      <c r="C231" s="8" t="s">
        <v>297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48"/>
      <c r="B232" s="148"/>
      <c r="C232" s="8" t="s">
        <v>298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50"/>
      <c r="B233" s="150"/>
      <c r="C233" s="8" t="s">
        <v>299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50"/>
      <c r="B234" s="150"/>
      <c r="C234" s="8" t="s">
        <v>300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50"/>
      <c r="B235" s="150"/>
      <c r="C235" s="8" t="s">
        <v>211</v>
      </c>
      <c r="D235" s="14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C236" s="56"/>
      <c r="D236" s="5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32"/>
      <c r="B237" s="132" t="s">
        <v>169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8"/>
      <c r="B238" s="8" t="s">
        <v>190</v>
      </c>
      <c r="C238" s="133"/>
      <c r="D238" s="1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8"/>
      <c r="B239" s="8" t="s">
        <v>170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8"/>
      <c r="B240" s="8" t="s">
        <v>191</v>
      </c>
      <c r="C240" s="133"/>
      <c r="D240" s="1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35"/>
      <c r="B241" s="161" t="s">
        <v>98</v>
      </c>
      <c r="C241" s="162" t="s">
        <v>192</v>
      </c>
      <c r="D241" s="15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38"/>
      <c r="B242" s="155">
        <v>0.0</v>
      </c>
      <c r="C242" s="156" t="s">
        <v>301</v>
      </c>
      <c r="D242" s="15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38"/>
      <c r="B243" s="155">
        <v>0.25</v>
      </c>
      <c r="C243" s="156" t="s">
        <v>302</v>
      </c>
      <c r="D243" s="15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38"/>
      <c r="B244" s="155">
        <v>0.5</v>
      </c>
      <c r="C244" s="156" t="s">
        <v>303</v>
      </c>
      <c r="D244" s="15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38"/>
      <c r="B245" s="155">
        <v>0.75</v>
      </c>
      <c r="C245" s="156" t="s">
        <v>304</v>
      </c>
      <c r="D245" s="15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41"/>
      <c r="B246" s="159">
        <v>1.0</v>
      </c>
      <c r="C246" s="156" t="s">
        <v>305</v>
      </c>
      <c r="D246" s="15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43"/>
      <c r="B247" s="143" t="s">
        <v>198</v>
      </c>
      <c r="C247" s="144"/>
      <c r="D247" s="1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8"/>
      <c r="B248" s="8" t="s">
        <v>217</v>
      </c>
      <c r="C248" s="133"/>
      <c r="D248" s="13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8"/>
      <c r="B249" s="8" t="s">
        <v>306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50"/>
      <c r="B250" s="150"/>
      <c r="C250" s="8" t="s">
        <v>200</v>
      </c>
      <c r="D250" s="14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48"/>
      <c r="B251" s="148"/>
      <c r="C251" s="133"/>
      <c r="D251" s="13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8"/>
      <c r="B252" s="8" t="s">
        <v>202</v>
      </c>
      <c r="D252" s="13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8"/>
      <c r="B253" s="8" t="s">
        <v>307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48"/>
      <c r="B254" s="148"/>
      <c r="C254" s="8" t="s">
        <v>204</v>
      </c>
      <c r="D254" s="14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50"/>
      <c r="B255" s="150"/>
      <c r="C255" s="150"/>
      <c r="D255" s="13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8"/>
      <c r="B256" s="8" t="s">
        <v>205</v>
      </c>
      <c r="D256" s="13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63"/>
      <c r="B257" s="163" t="s">
        <v>206</v>
      </c>
      <c r="C257" s="8" t="s">
        <v>308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50"/>
      <c r="B258" s="150"/>
      <c r="C258" s="8" t="s">
        <v>309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50"/>
      <c r="B259" s="150"/>
      <c r="C259" s="8" t="s">
        <v>310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50"/>
      <c r="B260" s="150"/>
      <c r="C260" s="8" t="s">
        <v>311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48"/>
      <c r="B261" s="148"/>
      <c r="C261" s="8" t="s">
        <v>211</v>
      </c>
      <c r="D261" s="14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C262" s="56"/>
      <c r="D262" s="5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32"/>
      <c r="B263" s="132" t="s">
        <v>171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8"/>
      <c r="B264" s="8" t="s">
        <v>190</v>
      </c>
      <c r="C264" s="133"/>
      <c r="D264" s="13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8"/>
      <c r="B265" s="8" t="s">
        <v>172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8"/>
      <c r="B266" s="8" t="s">
        <v>191</v>
      </c>
      <c r="C266" s="133"/>
      <c r="D266" s="13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35"/>
      <c r="B267" s="161" t="s">
        <v>98</v>
      </c>
      <c r="C267" s="162" t="s">
        <v>192</v>
      </c>
      <c r="D267" s="15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38"/>
      <c r="B268" s="155">
        <v>0.0</v>
      </c>
      <c r="C268" s="156" t="s">
        <v>312</v>
      </c>
      <c r="D268" s="15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38"/>
      <c r="B269" s="155">
        <v>0.25</v>
      </c>
      <c r="C269" s="156" t="s">
        <v>313</v>
      </c>
      <c r="D269" s="15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38"/>
      <c r="B270" s="155">
        <v>0.5</v>
      </c>
      <c r="C270" s="156" t="s">
        <v>314</v>
      </c>
      <c r="D270" s="15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38"/>
      <c r="B271" s="155">
        <v>0.75</v>
      </c>
      <c r="C271" s="156" t="s">
        <v>315</v>
      </c>
      <c r="D271" s="15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41"/>
      <c r="B272" s="159">
        <v>1.0</v>
      </c>
      <c r="C272" s="156" t="s">
        <v>316</v>
      </c>
      <c r="D272" s="15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43"/>
      <c r="B273" s="143" t="s">
        <v>198</v>
      </c>
      <c r="C273" s="144"/>
      <c r="D273" s="13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8"/>
      <c r="B274" s="8" t="s">
        <v>217</v>
      </c>
      <c r="C274" s="133"/>
      <c r="D274" s="13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8"/>
      <c r="B275" s="8" t="s">
        <v>317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50"/>
      <c r="B276" s="150"/>
      <c r="C276" s="8" t="s">
        <v>200</v>
      </c>
      <c r="D276" s="14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48"/>
      <c r="B277" s="148"/>
      <c r="C277" s="133"/>
      <c r="D277" s="13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8"/>
      <c r="B278" s="8" t="s">
        <v>202</v>
      </c>
      <c r="D278" s="13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8"/>
      <c r="B279" s="8" t="s">
        <v>318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50"/>
      <c r="B280" s="150"/>
      <c r="C280" s="8" t="s">
        <v>204</v>
      </c>
      <c r="D280" s="14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48"/>
      <c r="B281" s="148"/>
      <c r="C281" s="133"/>
      <c r="D281" s="13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8"/>
      <c r="B282" s="8" t="s">
        <v>205</v>
      </c>
      <c r="D282" s="13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63"/>
      <c r="B283" s="163" t="s">
        <v>206</v>
      </c>
      <c r="C283" s="8" t="s">
        <v>319</v>
      </c>
      <c r="D283" s="13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50"/>
      <c r="B284" s="150"/>
      <c r="C284" s="8" t="s">
        <v>320</v>
      </c>
      <c r="D284" s="13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50"/>
      <c r="B285" s="150"/>
      <c r="C285" s="8" t="s">
        <v>321</v>
      </c>
      <c r="D285" s="13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50"/>
      <c r="B286" s="150"/>
      <c r="C286" s="8" t="s">
        <v>322</v>
      </c>
      <c r="D286" s="13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50"/>
      <c r="B287" s="150"/>
      <c r="C287" s="8" t="s">
        <v>211</v>
      </c>
      <c r="D287" s="14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51"/>
      <c r="B288" s="151"/>
      <c r="C288" s="56"/>
      <c r="D288" s="5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32"/>
      <c r="B289" s="132" t="s">
        <v>173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8"/>
      <c r="B290" s="8" t="s">
        <v>190</v>
      </c>
      <c r="C290" s="133"/>
      <c r="D290" s="13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8"/>
      <c r="B291" s="8" t="s">
        <v>174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8"/>
      <c r="B292" s="8" t="s">
        <v>191</v>
      </c>
      <c r="C292" s="133"/>
      <c r="D292" s="13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35"/>
      <c r="B293" s="161" t="s">
        <v>98</v>
      </c>
      <c r="C293" s="162" t="s">
        <v>192</v>
      </c>
      <c r="D293" s="15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38"/>
      <c r="B294" s="155">
        <v>0.0</v>
      </c>
      <c r="C294" s="156" t="s">
        <v>323</v>
      </c>
      <c r="D294" s="15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38"/>
      <c r="B295" s="155">
        <v>0.25</v>
      </c>
      <c r="C295" s="156" t="s">
        <v>324</v>
      </c>
      <c r="D295" s="15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38"/>
      <c r="B296" s="155">
        <v>0.5</v>
      </c>
      <c r="C296" s="156" t="s">
        <v>325</v>
      </c>
      <c r="D296" s="15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38"/>
      <c r="B297" s="155">
        <v>0.75</v>
      </c>
      <c r="C297" s="156" t="s">
        <v>326</v>
      </c>
      <c r="D297" s="15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41"/>
      <c r="B298" s="159">
        <v>1.0</v>
      </c>
      <c r="C298" s="156" t="s">
        <v>327</v>
      </c>
      <c r="D298" s="15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43"/>
      <c r="B299" s="143" t="s">
        <v>198</v>
      </c>
      <c r="C299" s="144"/>
      <c r="D299" s="13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8"/>
      <c r="B300" s="8" t="s">
        <v>217</v>
      </c>
      <c r="C300" s="133"/>
      <c r="D300" s="13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8"/>
      <c r="B301" s="8" t="s">
        <v>328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50"/>
      <c r="B302" s="150"/>
      <c r="C302" s="8" t="s">
        <v>200</v>
      </c>
      <c r="D302" s="14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48"/>
      <c r="B303" s="148"/>
      <c r="C303" s="133"/>
      <c r="D303" s="13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8"/>
      <c r="B304" s="8" t="s">
        <v>202</v>
      </c>
      <c r="D304" s="13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8"/>
      <c r="B305" s="8" t="s">
        <v>329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50"/>
      <c r="B306" s="150"/>
      <c r="C306" s="8" t="s">
        <v>204</v>
      </c>
      <c r="D306" s="14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48"/>
      <c r="B307" s="148"/>
      <c r="C307" s="133"/>
      <c r="D307" s="13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8"/>
      <c r="B308" s="8" t="s">
        <v>205</v>
      </c>
      <c r="D308" s="13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63"/>
      <c r="B309" s="163" t="s">
        <v>206</v>
      </c>
      <c r="C309" s="8" t="s">
        <v>330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50"/>
      <c r="B310" s="150"/>
      <c r="C310" s="8" t="s">
        <v>331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50"/>
      <c r="B311" s="150"/>
      <c r="C311" s="8" t="s">
        <v>332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50"/>
      <c r="B312" s="150"/>
      <c r="C312" s="8" t="s">
        <v>333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50"/>
      <c r="B313" s="150"/>
      <c r="C313" s="8" t="s">
        <v>211</v>
      </c>
      <c r="D313" s="14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51"/>
      <c r="B314" s="151"/>
      <c r="C314" s="56"/>
      <c r="D314" s="5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32"/>
      <c r="B315" s="132" t="s">
        <v>175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8"/>
      <c r="B316" s="8" t="s">
        <v>190</v>
      </c>
      <c r="C316" s="133"/>
      <c r="D316" s="13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8"/>
      <c r="B317" s="8" t="s">
        <v>176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8"/>
      <c r="B318" s="8" t="s">
        <v>191</v>
      </c>
      <c r="C318" s="133"/>
      <c r="D318" s="13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35"/>
      <c r="B319" s="161" t="s">
        <v>98</v>
      </c>
      <c r="C319" s="162" t="s">
        <v>192</v>
      </c>
      <c r="D319" s="15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38"/>
      <c r="B320" s="155">
        <v>0.0</v>
      </c>
      <c r="C320" s="156" t="s">
        <v>334</v>
      </c>
      <c r="D320" s="15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38"/>
      <c r="B321" s="155">
        <v>0.25</v>
      </c>
      <c r="C321" s="156" t="s">
        <v>335</v>
      </c>
      <c r="D321" s="15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38"/>
      <c r="B322" s="155">
        <v>0.5</v>
      </c>
      <c r="C322" s="156" t="s">
        <v>336</v>
      </c>
      <c r="D322" s="15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38"/>
      <c r="B323" s="155">
        <v>0.75</v>
      </c>
      <c r="C323" s="156" t="s">
        <v>337</v>
      </c>
      <c r="D323" s="15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41"/>
      <c r="B324" s="159">
        <v>1.0</v>
      </c>
      <c r="C324" s="156" t="s">
        <v>338</v>
      </c>
      <c r="D324" s="15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43"/>
      <c r="B325" s="143" t="s">
        <v>198</v>
      </c>
      <c r="C325" s="144"/>
      <c r="D325" s="13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8"/>
      <c r="B326" s="8" t="s">
        <v>217</v>
      </c>
      <c r="C326" s="133"/>
      <c r="D326" s="13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8"/>
      <c r="B327" s="8" t="s">
        <v>339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50"/>
      <c r="B328" s="150"/>
      <c r="C328" s="8" t="s">
        <v>200</v>
      </c>
      <c r="D328" s="14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48"/>
      <c r="B329" s="148"/>
      <c r="C329" s="133"/>
      <c r="D329" s="13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8"/>
      <c r="B330" s="8" t="s">
        <v>202</v>
      </c>
      <c r="D330" s="13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8"/>
      <c r="B331" s="8" t="s">
        <v>340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50"/>
      <c r="B332" s="150"/>
      <c r="C332" s="8" t="s">
        <v>204</v>
      </c>
      <c r="D332" s="14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48"/>
      <c r="B333" s="148"/>
      <c r="C333" s="133"/>
      <c r="D333" s="13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8"/>
      <c r="B334" s="8" t="s">
        <v>205</v>
      </c>
      <c r="D334" s="13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63"/>
      <c r="B335" s="163" t="s">
        <v>206</v>
      </c>
      <c r="C335" s="8" t="s">
        <v>341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50"/>
      <c r="B336" s="150"/>
      <c r="C336" s="8" t="s">
        <v>342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50"/>
      <c r="B337" s="150"/>
      <c r="C337" s="8" t="s">
        <v>343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50"/>
      <c r="B338" s="150"/>
      <c r="C338" s="8" t="s">
        <v>344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50"/>
      <c r="B339" s="150"/>
      <c r="C339" s="8" t="s">
        <v>211</v>
      </c>
      <c r="D339" s="14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51"/>
      <c r="B340" s="151"/>
      <c r="C340" s="56"/>
      <c r="D340" s="5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32"/>
      <c r="B341" s="132" t="s">
        <v>177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8"/>
      <c r="B342" s="8" t="s">
        <v>190</v>
      </c>
      <c r="C342" s="133"/>
      <c r="D342" s="13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8"/>
      <c r="B343" s="8" t="s">
        <v>178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8"/>
      <c r="B344" s="8" t="s">
        <v>191</v>
      </c>
      <c r="C344" s="133"/>
      <c r="D344" s="13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35"/>
      <c r="B345" s="161" t="s">
        <v>98</v>
      </c>
      <c r="C345" s="162" t="s">
        <v>192</v>
      </c>
      <c r="D345" s="15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38"/>
      <c r="B346" s="155">
        <v>0.0</v>
      </c>
      <c r="C346" s="156" t="s">
        <v>345</v>
      </c>
      <c r="D346" s="15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38"/>
      <c r="B347" s="155">
        <v>0.25</v>
      </c>
      <c r="C347" s="156" t="s">
        <v>346</v>
      </c>
      <c r="D347" s="15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38"/>
      <c r="B348" s="155">
        <v>0.5</v>
      </c>
      <c r="C348" s="156" t="s">
        <v>347</v>
      </c>
      <c r="D348" s="15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38"/>
      <c r="B349" s="155">
        <v>0.75</v>
      </c>
      <c r="C349" s="156" t="s">
        <v>348</v>
      </c>
      <c r="D349" s="15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41"/>
      <c r="B350" s="159">
        <v>1.0</v>
      </c>
      <c r="C350" s="156" t="s">
        <v>349</v>
      </c>
      <c r="D350" s="15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43"/>
      <c r="B351" s="143" t="s">
        <v>198</v>
      </c>
      <c r="C351" s="144"/>
      <c r="D351" s="13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8"/>
      <c r="B352" s="8" t="s">
        <v>217</v>
      </c>
      <c r="C352" s="133"/>
      <c r="D352" s="13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8"/>
      <c r="B353" s="8" t="s">
        <v>350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50"/>
      <c r="B354" s="150"/>
      <c r="C354" s="8" t="s">
        <v>200</v>
      </c>
      <c r="D354" s="14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48"/>
      <c r="B355" s="148"/>
      <c r="C355" s="133"/>
      <c r="D355" s="13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8"/>
      <c r="B356" s="8" t="s">
        <v>202</v>
      </c>
      <c r="D356" s="13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8"/>
      <c r="B357" s="8" t="s">
        <v>351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50"/>
      <c r="B358" s="150"/>
      <c r="C358" s="8" t="s">
        <v>204</v>
      </c>
      <c r="D358" s="14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48"/>
      <c r="B359" s="148"/>
      <c r="C359" s="133"/>
      <c r="D359" s="13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8"/>
      <c r="B360" s="8" t="s">
        <v>205</v>
      </c>
      <c r="D360" s="13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63"/>
      <c r="B361" s="163" t="s">
        <v>206</v>
      </c>
      <c r="C361" s="8" t="s">
        <v>352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50"/>
      <c r="B362" s="150"/>
      <c r="C362" s="8" t="s">
        <v>353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50"/>
      <c r="B363" s="150"/>
      <c r="C363" s="8" t="s">
        <v>354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50"/>
      <c r="B364" s="150"/>
      <c r="C364" s="8" t="s">
        <v>355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50"/>
      <c r="B365" s="150"/>
      <c r="C365" s="8" t="s">
        <v>211</v>
      </c>
      <c r="D365" s="14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51"/>
      <c r="B366" s="151"/>
      <c r="C366" s="56"/>
      <c r="D366" s="5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32"/>
      <c r="B367" s="132" t="s">
        <v>179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8"/>
      <c r="B368" s="8" t="s">
        <v>190</v>
      </c>
      <c r="C368" s="133"/>
      <c r="D368" s="13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8"/>
      <c r="B369" s="8" t="s">
        <v>180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8"/>
      <c r="B370" s="8" t="s">
        <v>191</v>
      </c>
      <c r="C370" s="133"/>
      <c r="D370" s="13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35"/>
      <c r="B371" s="161" t="s">
        <v>98</v>
      </c>
      <c r="C371" s="162" t="s">
        <v>192</v>
      </c>
      <c r="D371" s="15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38"/>
      <c r="B372" s="155">
        <v>0.0</v>
      </c>
      <c r="C372" s="156" t="s">
        <v>356</v>
      </c>
      <c r="D372" s="15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38"/>
      <c r="B373" s="155">
        <v>0.25</v>
      </c>
      <c r="C373" s="156" t="s">
        <v>357</v>
      </c>
      <c r="D373" s="15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38"/>
      <c r="B374" s="155">
        <v>0.5</v>
      </c>
      <c r="C374" s="156" t="s">
        <v>358</v>
      </c>
      <c r="D374" s="15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38"/>
      <c r="B375" s="155">
        <v>0.75</v>
      </c>
      <c r="C375" s="156" t="s">
        <v>359</v>
      </c>
      <c r="D375" s="15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41"/>
      <c r="B376" s="159">
        <v>1.0</v>
      </c>
      <c r="C376" s="156" t="s">
        <v>360</v>
      </c>
      <c r="D376" s="15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43"/>
      <c r="B377" s="143" t="s">
        <v>198</v>
      </c>
      <c r="C377" s="144"/>
      <c r="D377" s="13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8"/>
      <c r="B378" s="8" t="s">
        <v>217</v>
      </c>
      <c r="C378" s="133"/>
      <c r="D378" s="13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8"/>
      <c r="B379" s="8" t="s">
        <v>361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50"/>
      <c r="B380" s="150"/>
      <c r="C380" s="8" t="s">
        <v>200</v>
      </c>
      <c r="D380" s="14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48"/>
      <c r="B381" s="148"/>
      <c r="C381" s="133"/>
      <c r="D381" s="13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8"/>
      <c r="B382" s="8" t="s">
        <v>202</v>
      </c>
      <c r="D382" s="13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8"/>
      <c r="B383" s="8" t="s">
        <v>362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50"/>
      <c r="B384" s="150"/>
      <c r="C384" s="8" t="s">
        <v>204</v>
      </c>
      <c r="D384" s="14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48"/>
      <c r="B385" s="148"/>
      <c r="C385" s="133"/>
      <c r="D385" s="13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8"/>
      <c r="B386" s="8" t="s">
        <v>205</v>
      </c>
      <c r="D386" s="13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63"/>
      <c r="B387" s="163" t="s">
        <v>206</v>
      </c>
      <c r="C387" s="8" t="s">
        <v>363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50"/>
      <c r="B388" s="150"/>
      <c r="C388" s="8" t="s">
        <v>364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50"/>
      <c r="B389" s="150"/>
      <c r="C389" s="8" t="s">
        <v>365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50"/>
      <c r="B390" s="150"/>
      <c r="C390" s="8" t="s">
        <v>366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50"/>
      <c r="B391" s="150"/>
      <c r="C391" s="8" t="s">
        <v>211</v>
      </c>
      <c r="D391" s="14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56"/>
      <c r="B392" s="56"/>
      <c r="C392" s="56"/>
      <c r="D392" s="5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64"/>
      <c r="B393" s="164"/>
      <c r="C393" s="164"/>
      <c r="D393" s="16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65"/>
      <c r="B394" s="166" t="s">
        <v>367</v>
      </c>
      <c r="C394" s="167">
        <f>C22+C48+C73+C98+C122+C147+C172+C197+C222+C247+C273+C299+C325+C351+C377</f>
        <v>0.75</v>
      </c>
      <c r="D394" s="5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65"/>
      <c r="B395" s="166" t="s">
        <v>368</v>
      </c>
      <c r="C395" s="167">
        <f>C394*20</f>
        <v>15</v>
      </c>
      <c r="D395" s="5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56"/>
      <c r="B396" s="56"/>
      <c r="C396" s="56"/>
      <c r="D396" s="5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56"/>
      <c r="B397" s="56"/>
      <c r="C397" s="56"/>
      <c r="D397" s="5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56"/>
      <c r="B398" s="56"/>
      <c r="C398" s="56"/>
      <c r="D398" s="5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56"/>
      <c r="B399" s="56"/>
      <c r="C399" s="56"/>
      <c r="D399" s="5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56"/>
      <c r="B400" s="56"/>
      <c r="C400" s="56"/>
      <c r="D400" s="5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56"/>
      <c r="B401" s="56"/>
      <c r="C401" s="56"/>
      <c r="D401" s="5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56"/>
      <c r="B402" s="56"/>
      <c r="C402" s="56"/>
      <c r="D402" s="5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56"/>
      <c r="B403" s="56"/>
      <c r="C403" s="56"/>
      <c r="D403" s="5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56"/>
      <c r="B404" s="56"/>
      <c r="C404" s="56"/>
      <c r="D404" s="5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56"/>
      <c r="B405" s="56"/>
      <c r="C405" s="56"/>
      <c r="D405" s="5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56"/>
      <c r="B406" s="56"/>
      <c r="C406" s="56"/>
      <c r="D406" s="5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56"/>
      <c r="B407" s="56"/>
      <c r="C407" s="56"/>
      <c r="D407" s="5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56"/>
      <c r="B408" s="56"/>
      <c r="C408" s="56"/>
      <c r="D408" s="5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56"/>
      <c r="B409" s="56"/>
      <c r="C409" s="56"/>
      <c r="D409" s="5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56"/>
      <c r="B410" s="56"/>
      <c r="C410" s="56"/>
      <c r="D410" s="5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56"/>
      <c r="B411" s="56"/>
      <c r="C411" s="56"/>
      <c r="D411" s="5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56"/>
      <c r="B412" s="56"/>
      <c r="C412" s="56"/>
      <c r="D412" s="5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56"/>
      <c r="B413" s="56"/>
      <c r="C413" s="56"/>
      <c r="D413" s="5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56"/>
      <c r="B414" s="56"/>
      <c r="C414" s="56"/>
      <c r="D414" s="5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56"/>
      <c r="B415" s="56"/>
      <c r="C415" s="56"/>
      <c r="D415" s="5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56"/>
      <c r="B416" s="56"/>
      <c r="C416" s="56"/>
      <c r="D416" s="5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56"/>
      <c r="B417" s="56"/>
      <c r="C417" s="56"/>
      <c r="D417" s="5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56"/>
      <c r="B418" s="56"/>
      <c r="C418" s="56"/>
      <c r="D418" s="5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56"/>
      <c r="B419" s="56"/>
      <c r="C419" s="56"/>
      <c r="D419" s="5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56"/>
      <c r="B420" s="56"/>
      <c r="C420" s="56"/>
      <c r="D420" s="5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56"/>
      <c r="B421" s="56"/>
      <c r="C421" s="56"/>
      <c r="D421" s="5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56"/>
      <c r="B422" s="56"/>
      <c r="C422" s="56"/>
      <c r="D422" s="5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56"/>
      <c r="B423" s="56"/>
      <c r="C423" s="56"/>
      <c r="D423" s="5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56"/>
      <c r="B424" s="56"/>
      <c r="C424" s="56"/>
      <c r="D424" s="5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56"/>
      <c r="B425" s="56"/>
      <c r="C425" s="56"/>
      <c r="D425" s="5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56"/>
      <c r="B426" s="56"/>
      <c r="C426" s="56"/>
      <c r="D426" s="5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56"/>
      <c r="B427" s="56"/>
      <c r="C427" s="56"/>
      <c r="D427" s="5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56"/>
      <c r="B428" s="56"/>
      <c r="C428" s="56"/>
      <c r="D428" s="5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56"/>
      <c r="B429" s="56"/>
      <c r="C429" s="56"/>
      <c r="D429" s="5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56"/>
      <c r="B430" s="56"/>
      <c r="C430" s="56"/>
      <c r="D430" s="5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56"/>
      <c r="B431" s="56"/>
      <c r="C431" s="56"/>
      <c r="D431" s="5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56"/>
      <c r="B432" s="56"/>
      <c r="C432" s="56"/>
      <c r="D432" s="5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56"/>
      <c r="B433" s="56"/>
      <c r="C433" s="56"/>
      <c r="D433" s="5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56"/>
      <c r="B434" s="56"/>
      <c r="C434" s="56"/>
      <c r="D434" s="5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56"/>
      <c r="B435" s="56"/>
      <c r="C435" s="56"/>
      <c r="D435" s="5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56"/>
      <c r="B436" s="56"/>
      <c r="C436" s="56"/>
      <c r="D436" s="5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56"/>
      <c r="B437" s="56"/>
      <c r="C437" s="56"/>
      <c r="D437" s="5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56"/>
      <c r="B438" s="56"/>
      <c r="C438" s="56"/>
      <c r="D438" s="5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56"/>
      <c r="B439" s="56"/>
      <c r="C439" s="56"/>
      <c r="D439" s="5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56"/>
      <c r="B440" s="56"/>
      <c r="C440" s="56"/>
      <c r="D440" s="5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56"/>
      <c r="B441" s="56"/>
      <c r="C441" s="56"/>
      <c r="D441" s="5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56"/>
      <c r="B442" s="56"/>
      <c r="C442" s="56"/>
      <c r="D442" s="5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56"/>
      <c r="B443" s="56"/>
      <c r="C443" s="56"/>
      <c r="D443" s="5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56"/>
      <c r="B444" s="56"/>
      <c r="C444" s="56"/>
      <c r="D444" s="5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56"/>
      <c r="B445" s="56"/>
      <c r="C445" s="56"/>
      <c r="D445" s="5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56"/>
      <c r="B446" s="56"/>
      <c r="C446" s="56"/>
      <c r="D446" s="5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56"/>
      <c r="B447" s="56"/>
      <c r="C447" s="56"/>
      <c r="D447" s="5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56"/>
      <c r="B448" s="56"/>
      <c r="C448" s="56"/>
      <c r="D448" s="5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56"/>
      <c r="B449" s="56"/>
      <c r="C449" s="56"/>
      <c r="D449" s="5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56"/>
      <c r="B450" s="56"/>
      <c r="C450" s="56"/>
      <c r="D450" s="5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56"/>
      <c r="B451" s="56"/>
      <c r="C451" s="56"/>
      <c r="D451" s="5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56"/>
      <c r="B452" s="56"/>
      <c r="C452" s="56"/>
      <c r="D452" s="5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56"/>
      <c r="B453" s="56"/>
      <c r="C453" s="56"/>
      <c r="D453" s="5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56"/>
      <c r="B454" s="56"/>
      <c r="C454" s="56"/>
      <c r="D454" s="5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56"/>
      <c r="B455" s="56"/>
      <c r="C455" s="56"/>
      <c r="D455" s="5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56"/>
      <c r="B456" s="56"/>
      <c r="C456" s="56"/>
      <c r="D456" s="5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56"/>
      <c r="B457" s="56"/>
      <c r="C457" s="56"/>
      <c r="D457" s="5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56"/>
      <c r="B458" s="56"/>
      <c r="C458" s="56"/>
      <c r="D458" s="5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56"/>
      <c r="B459" s="56"/>
      <c r="C459" s="56"/>
      <c r="D459" s="5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56"/>
      <c r="B460" s="56"/>
      <c r="C460" s="56"/>
      <c r="D460" s="5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56"/>
      <c r="B461" s="56"/>
      <c r="C461" s="56"/>
      <c r="D461" s="5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56"/>
      <c r="B462" s="56"/>
      <c r="C462" s="56"/>
      <c r="D462" s="5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56"/>
      <c r="B463" s="56"/>
      <c r="C463" s="56"/>
      <c r="D463" s="5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56"/>
      <c r="B464" s="56"/>
      <c r="C464" s="56"/>
      <c r="D464" s="5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56"/>
      <c r="B465" s="56"/>
      <c r="C465" s="56"/>
      <c r="D465" s="5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56"/>
      <c r="B466" s="56"/>
      <c r="C466" s="56"/>
      <c r="D466" s="5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56"/>
      <c r="B467" s="56"/>
      <c r="C467" s="56"/>
      <c r="D467" s="5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56"/>
      <c r="B468" s="56"/>
      <c r="C468" s="56"/>
      <c r="D468" s="5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56"/>
      <c r="B469" s="56"/>
      <c r="C469" s="56"/>
      <c r="D469" s="5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56"/>
      <c r="B470" s="56"/>
      <c r="C470" s="56"/>
      <c r="D470" s="5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56"/>
      <c r="B471" s="56"/>
      <c r="C471" s="56"/>
      <c r="D471" s="5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56"/>
      <c r="B472" s="56"/>
      <c r="C472" s="56"/>
      <c r="D472" s="5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56"/>
      <c r="B473" s="56"/>
      <c r="C473" s="56"/>
      <c r="D473" s="5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56"/>
      <c r="B474" s="56"/>
      <c r="C474" s="56"/>
      <c r="D474" s="5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56"/>
      <c r="B475" s="56"/>
      <c r="C475" s="56"/>
      <c r="D475" s="5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56"/>
      <c r="B476" s="56"/>
      <c r="C476" s="56"/>
      <c r="D476" s="5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56"/>
      <c r="B477" s="56"/>
      <c r="C477" s="56"/>
      <c r="D477" s="5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56"/>
      <c r="B478" s="56"/>
      <c r="C478" s="56"/>
      <c r="D478" s="5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56"/>
      <c r="B479" s="56"/>
      <c r="C479" s="56"/>
      <c r="D479" s="5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56"/>
      <c r="B480" s="56"/>
      <c r="C480" s="56"/>
      <c r="D480" s="5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56"/>
      <c r="B481" s="56"/>
      <c r="C481" s="56"/>
      <c r="D481" s="5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56"/>
      <c r="B482" s="56"/>
      <c r="C482" s="56"/>
      <c r="D482" s="5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56"/>
      <c r="B483" s="56"/>
      <c r="C483" s="56"/>
      <c r="D483" s="5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56"/>
      <c r="B484" s="56"/>
      <c r="C484" s="56"/>
      <c r="D484" s="5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56"/>
      <c r="B485" s="56"/>
      <c r="C485" s="56"/>
      <c r="D485" s="5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56"/>
      <c r="B486" s="56"/>
      <c r="C486" s="56"/>
      <c r="D486" s="5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56"/>
      <c r="B487" s="56"/>
      <c r="C487" s="56"/>
      <c r="D487" s="5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56"/>
      <c r="B488" s="56"/>
      <c r="C488" s="56"/>
      <c r="D488" s="5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56"/>
      <c r="B489" s="56"/>
      <c r="C489" s="56"/>
      <c r="D489" s="5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56"/>
      <c r="B490" s="56"/>
      <c r="C490" s="56"/>
      <c r="D490" s="5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56"/>
      <c r="B491" s="56"/>
      <c r="C491" s="56"/>
      <c r="D491" s="5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56"/>
      <c r="B492" s="56"/>
      <c r="C492" s="56"/>
      <c r="D492" s="5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56"/>
      <c r="B493" s="56"/>
      <c r="C493" s="56"/>
      <c r="D493" s="5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56"/>
      <c r="B494" s="56"/>
      <c r="C494" s="56"/>
      <c r="D494" s="5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56"/>
      <c r="B495" s="56"/>
      <c r="C495" s="56"/>
      <c r="D495" s="5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56"/>
      <c r="B496" s="56"/>
      <c r="C496" s="56"/>
      <c r="D496" s="5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56"/>
      <c r="B497" s="56"/>
      <c r="C497" s="56"/>
      <c r="D497" s="5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56"/>
      <c r="B498" s="56"/>
      <c r="C498" s="56"/>
      <c r="D498" s="5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56"/>
      <c r="B499" s="56"/>
      <c r="C499" s="56"/>
      <c r="D499" s="5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56"/>
      <c r="B500" s="56"/>
      <c r="C500" s="56"/>
      <c r="D500" s="5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56"/>
      <c r="B501" s="56"/>
      <c r="C501" s="56"/>
      <c r="D501" s="5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56"/>
      <c r="B502" s="56"/>
      <c r="C502" s="56"/>
      <c r="D502" s="5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56"/>
      <c r="B503" s="56"/>
      <c r="C503" s="56"/>
      <c r="D503" s="5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56"/>
      <c r="B504" s="56"/>
      <c r="C504" s="56"/>
      <c r="D504" s="5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56"/>
      <c r="B505" s="56"/>
      <c r="C505" s="56"/>
      <c r="D505" s="5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56"/>
      <c r="B506" s="56"/>
      <c r="C506" s="56"/>
      <c r="D506" s="5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56"/>
      <c r="B507" s="56"/>
      <c r="C507" s="56"/>
      <c r="D507" s="5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56"/>
      <c r="B508" s="56"/>
      <c r="C508" s="56"/>
      <c r="D508" s="5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56"/>
      <c r="B509" s="56"/>
      <c r="C509" s="56"/>
      <c r="D509" s="5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56"/>
      <c r="B510" s="56"/>
      <c r="C510" s="56"/>
      <c r="D510" s="5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56"/>
      <c r="B511" s="56"/>
      <c r="C511" s="56"/>
      <c r="D511" s="5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56"/>
      <c r="B512" s="56"/>
      <c r="C512" s="56"/>
      <c r="D512" s="5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56"/>
      <c r="B513" s="56"/>
      <c r="C513" s="56"/>
      <c r="D513" s="5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56"/>
      <c r="B514" s="56"/>
      <c r="C514" s="56"/>
      <c r="D514" s="5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56"/>
      <c r="B515" s="56"/>
      <c r="C515" s="56"/>
      <c r="D515" s="5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56"/>
      <c r="B516" s="56"/>
      <c r="C516" s="56"/>
      <c r="D516" s="5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56"/>
      <c r="B517" s="56"/>
      <c r="C517" s="56"/>
      <c r="D517" s="5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56"/>
      <c r="B518" s="56"/>
      <c r="C518" s="56"/>
      <c r="D518" s="5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56"/>
      <c r="B519" s="56"/>
      <c r="C519" s="56"/>
      <c r="D519" s="5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56"/>
      <c r="B520" s="56"/>
      <c r="C520" s="56"/>
      <c r="D520" s="5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56"/>
      <c r="B521" s="56"/>
      <c r="C521" s="56"/>
      <c r="D521" s="5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56"/>
      <c r="B522" s="56"/>
      <c r="C522" s="56"/>
      <c r="D522" s="5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56"/>
      <c r="B523" s="56"/>
      <c r="C523" s="56"/>
      <c r="D523" s="5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56"/>
      <c r="B524" s="56"/>
      <c r="C524" s="56"/>
      <c r="D524" s="5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56"/>
      <c r="B525" s="56"/>
      <c r="C525" s="56"/>
      <c r="D525" s="5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56"/>
      <c r="B526" s="56"/>
      <c r="C526" s="56"/>
      <c r="D526" s="5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56"/>
      <c r="B527" s="56"/>
      <c r="C527" s="56"/>
      <c r="D527" s="5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56"/>
      <c r="B528" s="56"/>
      <c r="C528" s="56"/>
      <c r="D528" s="5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56"/>
      <c r="B529" s="56"/>
      <c r="C529" s="56"/>
      <c r="D529" s="5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56"/>
      <c r="B530" s="56"/>
      <c r="C530" s="56"/>
      <c r="D530" s="5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56"/>
      <c r="B531" s="56"/>
      <c r="C531" s="56"/>
      <c r="D531" s="5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56"/>
      <c r="B532" s="56"/>
      <c r="C532" s="56"/>
      <c r="D532" s="5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56"/>
      <c r="B533" s="56"/>
      <c r="C533" s="56"/>
      <c r="D533" s="5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56"/>
      <c r="B534" s="56"/>
      <c r="C534" s="56"/>
      <c r="D534" s="5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56"/>
      <c r="B535" s="56"/>
      <c r="C535" s="56"/>
      <c r="D535" s="5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56"/>
      <c r="B536" s="56"/>
      <c r="C536" s="56"/>
      <c r="D536" s="5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56"/>
      <c r="B537" s="56"/>
      <c r="C537" s="56"/>
      <c r="D537" s="5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56"/>
      <c r="B538" s="56"/>
      <c r="C538" s="56"/>
      <c r="D538" s="5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56"/>
      <c r="B539" s="56"/>
      <c r="C539" s="56"/>
      <c r="D539" s="5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56"/>
      <c r="B540" s="56"/>
      <c r="C540" s="56"/>
      <c r="D540" s="5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56"/>
      <c r="B541" s="56"/>
      <c r="C541" s="56"/>
      <c r="D541" s="5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56"/>
      <c r="B542" s="56"/>
      <c r="C542" s="56"/>
      <c r="D542" s="5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56"/>
      <c r="B543" s="56"/>
      <c r="C543" s="56"/>
      <c r="D543" s="5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56"/>
      <c r="B544" s="56"/>
      <c r="C544" s="56"/>
      <c r="D544" s="5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56"/>
      <c r="B545" s="56"/>
      <c r="C545" s="56"/>
      <c r="D545" s="5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56"/>
      <c r="B546" s="56"/>
      <c r="C546" s="56"/>
      <c r="D546" s="5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56"/>
      <c r="B547" s="56"/>
      <c r="C547" s="56"/>
      <c r="D547" s="5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56"/>
      <c r="B548" s="56"/>
      <c r="C548" s="56"/>
      <c r="D548" s="5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56"/>
      <c r="B549" s="56"/>
      <c r="C549" s="56"/>
      <c r="D549" s="5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56"/>
      <c r="B550" s="56"/>
      <c r="C550" s="56"/>
      <c r="D550" s="5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56"/>
      <c r="B551" s="56"/>
      <c r="C551" s="56"/>
      <c r="D551" s="5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56"/>
      <c r="B552" s="56"/>
      <c r="C552" s="56"/>
      <c r="D552" s="5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56"/>
      <c r="B553" s="56"/>
      <c r="C553" s="56"/>
      <c r="D553" s="5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56"/>
      <c r="B554" s="56"/>
      <c r="C554" s="56"/>
      <c r="D554" s="5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56"/>
      <c r="B555" s="56"/>
      <c r="C555" s="56"/>
      <c r="D555" s="5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56"/>
      <c r="B556" s="56"/>
      <c r="C556" s="56"/>
      <c r="D556" s="5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56"/>
      <c r="B557" s="56"/>
      <c r="C557" s="56"/>
      <c r="D557" s="5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56"/>
      <c r="B558" s="56"/>
      <c r="C558" s="56"/>
      <c r="D558" s="5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56"/>
      <c r="B559" s="56"/>
      <c r="C559" s="56"/>
      <c r="D559" s="5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56"/>
      <c r="B560" s="56"/>
      <c r="C560" s="56"/>
      <c r="D560" s="5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56"/>
      <c r="B561" s="56"/>
      <c r="C561" s="56"/>
      <c r="D561" s="5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56"/>
      <c r="B562" s="56"/>
      <c r="C562" s="56"/>
      <c r="D562" s="5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56"/>
      <c r="B563" s="56"/>
      <c r="C563" s="56"/>
      <c r="D563" s="5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56"/>
      <c r="B564" s="56"/>
      <c r="C564" s="56"/>
      <c r="D564" s="5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56"/>
      <c r="B565" s="56"/>
      <c r="C565" s="56"/>
      <c r="D565" s="5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56"/>
      <c r="B566" s="56"/>
      <c r="C566" s="56"/>
      <c r="D566" s="5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56"/>
      <c r="B567" s="56"/>
      <c r="C567" s="56"/>
      <c r="D567" s="5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56"/>
      <c r="B568" s="56"/>
      <c r="C568" s="56"/>
      <c r="D568" s="5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56"/>
      <c r="B569" s="56"/>
      <c r="C569" s="56"/>
      <c r="D569" s="5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56"/>
      <c r="B570" s="56"/>
      <c r="C570" s="56"/>
      <c r="D570" s="5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56"/>
      <c r="B571" s="56"/>
      <c r="C571" s="56"/>
      <c r="D571" s="5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56"/>
      <c r="B572" s="56"/>
      <c r="C572" s="56"/>
      <c r="D572" s="5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56"/>
      <c r="B573" s="56"/>
      <c r="C573" s="56"/>
      <c r="D573" s="5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56"/>
      <c r="B574" s="56"/>
      <c r="C574" s="56"/>
      <c r="D574" s="5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56"/>
      <c r="B575" s="56"/>
      <c r="C575" s="56"/>
      <c r="D575" s="5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56"/>
      <c r="B576" s="56"/>
      <c r="C576" s="56"/>
      <c r="D576" s="5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56"/>
      <c r="B577" s="56"/>
      <c r="C577" s="56"/>
      <c r="D577" s="5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56"/>
      <c r="B578" s="56"/>
      <c r="C578" s="56"/>
      <c r="D578" s="5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56"/>
      <c r="B579" s="56"/>
      <c r="C579" s="56"/>
      <c r="D579" s="5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56"/>
      <c r="B580" s="56"/>
      <c r="C580" s="56"/>
      <c r="D580" s="5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56"/>
      <c r="B581" s="56"/>
      <c r="C581" s="56"/>
      <c r="D581" s="5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56"/>
      <c r="B582" s="56"/>
      <c r="C582" s="56"/>
      <c r="D582" s="5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56"/>
      <c r="B583" s="56"/>
      <c r="C583" s="56"/>
      <c r="D583" s="5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56"/>
      <c r="B584" s="56"/>
      <c r="C584" s="56"/>
      <c r="D584" s="5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56"/>
      <c r="B585" s="56"/>
      <c r="C585" s="56"/>
      <c r="D585" s="5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56"/>
      <c r="B586" s="56"/>
      <c r="C586" s="56"/>
      <c r="D586" s="5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56"/>
      <c r="B587" s="56"/>
      <c r="C587" s="56"/>
      <c r="D587" s="5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56"/>
      <c r="B588" s="56"/>
      <c r="C588" s="56"/>
      <c r="D588" s="5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56"/>
      <c r="B589" s="56"/>
      <c r="C589" s="56"/>
      <c r="D589" s="5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56"/>
      <c r="B590" s="56"/>
      <c r="C590" s="56"/>
      <c r="D590" s="5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56"/>
      <c r="B591" s="56"/>
      <c r="C591" s="56"/>
      <c r="D591" s="5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56"/>
      <c r="B592" s="56"/>
      <c r="C592" s="56"/>
      <c r="D592" s="5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56"/>
      <c r="B593" s="56"/>
      <c r="C593" s="56"/>
      <c r="D593" s="5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56"/>
      <c r="B594" s="56"/>
      <c r="C594" s="56"/>
      <c r="D594" s="5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56"/>
      <c r="B595" s="56"/>
      <c r="C595" s="56"/>
      <c r="D595" s="5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56"/>
      <c r="B596" s="56"/>
      <c r="C596" s="56"/>
      <c r="D596" s="5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56"/>
      <c r="B597" s="56"/>
      <c r="C597" s="56"/>
      <c r="D597" s="5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56"/>
      <c r="B598" s="56"/>
      <c r="C598" s="56"/>
      <c r="D598" s="5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56"/>
      <c r="B599" s="56"/>
      <c r="C599" s="56"/>
      <c r="D599" s="5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56"/>
      <c r="B600" s="56"/>
      <c r="C600" s="56"/>
      <c r="D600" s="5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56"/>
      <c r="B601" s="56"/>
      <c r="C601" s="56"/>
      <c r="D601" s="5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56"/>
      <c r="B602" s="56"/>
      <c r="C602" s="56"/>
      <c r="D602" s="5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56"/>
      <c r="B603" s="56"/>
      <c r="C603" s="56"/>
      <c r="D603" s="5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56"/>
      <c r="B604" s="56"/>
      <c r="C604" s="56"/>
      <c r="D604" s="5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56"/>
      <c r="B605" s="56"/>
      <c r="C605" s="56"/>
      <c r="D605" s="5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56"/>
      <c r="B606" s="56"/>
      <c r="C606" s="56"/>
      <c r="D606" s="5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56"/>
      <c r="B607" s="56"/>
      <c r="C607" s="56"/>
      <c r="D607" s="5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56"/>
      <c r="B608" s="56"/>
      <c r="C608" s="56"/>
      <c r="D608" s="5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56"/>
      <c r="B609" s="56"/>
      <c r="C609" s="56"/>
      <c r="D609" s="5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56"/>
      <c r="B610" s="56"/>
      <c r="C610" s="56"/>
      <c r="D610" s="5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56"/>
      <c r="B611" s="56"/>
      <c r="C611" s="56"/>
      <c r="D611" s="5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56"/>
      <c r="B612" s="56"/>
      <c r="C612" s="56"/>
      <c r="D612" s="5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56"/>
      <c r="B613" s="56"/>
      <c r="C613" s="56"/>
      <c r="D613" s="5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56"/>
      <c r="B614" s="56"/>
      <c r="C614" s="56"/>
      <c r="D614" s="5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56"/>
      <c r="B615" s="56"/>
      <c r="C615" s="56"/>
      <c r="D615" s="5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56"/>
      <c r="B616" s="56"/>
      <c r="C616" s="56"/>
      <c r="D616" s="5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56"/>
      <c r="B617" s="56"/>
      <c r="C617" s="56"/>
      <c r="D617" s="5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56"/>
      <c r="B618" s="56"/>
      <c r="C618" s="56"/>
      <c r="D618" s="5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56"/>
      <c r="B619" s="56"/>
      <c r="C619" s="56"/>
      <c r="D619" s="5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56"/>
      <c r="B620" s="56"/>
      <c r="C620" s="56"/>
      <c r="D620" s="5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56"/>
      <c r="B621" s="56"/>
      <c r="C621" s="56"/>
      <c r="D621" s="5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56"/>
      <c r="B622" s="56"/>
      <c r="C622" s="56"/>
      <c r="D622" s="5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56"/>
      <c r="B623" s="56"/>
      <c r="C623" s="56"/>
      <c r="D623" s="5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56"/>
      <c r="B624" s="56"/>
      <c r="C624" s="56"/>
      <c r="D624" s="5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56"/>
      <c r="B625" s="56"/>
      <c r="C625" s="56"/>
      <c r="D625" s="5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56"/>
      <c r="B626" s="56"/>
      <c r="C626" s="56"/>
      <c r="D626" s="5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56"/>
      <c r="B627" s="56"/>
      <c r="C627" s="56"/>
      <c r="D627" s="5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56"/>
      <c r="B628" s="56"/>
      <c r="C628" s="56"/>
      <c r="D628" s="5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56"/>
      <c r="B629" s="56"/>
      <c r="C629" s="56"/>
      <c r="D629" s="5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56"/>
      <c r="B630" s="56"/>
      <c r="C630" s="56"/>
      <c r="D630" s="5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56"/>
      <c r="B631" s="56"/>
      <c r="C631" s="56"/>
      <c r="D631" s="5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56"/>
      <c r="B632" s="56"/>
      <c r="C632" s="56"/>
      <c r="D632" s="5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56"/>
      <c r="B633" s="56"/>
      <c r="C633" s="56"/>
      <c r="D633" s="5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56"/>
      <c r="B634" s="56"/>
      <c r="C634" s="56"/>
      <c r="D634" s="5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56"/>
      <c r="B635" s="56"/>
      <c r="C635" s="56"/>
      <c r="D635" s="5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56"/>
      <c r="B636" s="56"/>
      <c r="C636" s="56"/>
      <c r="D636" s="5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56"/>
      <c r="B637" s="56"/>
      <c r="C637" s="56"/>
      <c r="D637" s="5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56"/>
      <c r="B638" s="56"/>
      <c r="C638" s="56"/>
      <c r="D638" s="5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56"/>
      <c r="B639" s="56"/>
      <c r="C639" s="56"/>
      <c r="D639" s="5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56"/>
      <c r="B640" s="56"/>
      <c r="C640" s="56"/>
      <c r="D640" s="5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56"/>
      <c r="B641" s="56"/>
      <c r="C641" s="56"/>
      <c r="D641" s="5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56"/>
      <c r="B642" s="56"/>
      <c r="C642" s="56"/>
      <c r="D642" s="5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56"/>
      <c r="B643" s="56"/>
      <c r="C643" s="56"/>
      <c r="D643" s="5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56"/>
      <c r="B644" s="56"/>
      <c r="C644" s="56"/>
      <c r="D644" s="5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56"/>
      <c r="B645" s="56"/>
      <c r="C645" s="56"/>
      <c r="D645" s="5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56"/>
      <c r="B646" s="56"/>
      <c r="C646" s="56"/>
      <c r="D646" s="5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56"/>
      <c r="B647" s="56"/>
      <c r="C647" s="56"/>
      <c r="D647" s="5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56"/>
      <c r="B648" s="56"/>
      <c r="C648" s="56"/>
      <c r="D648" s="5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56"/>
      <c r="B649" s="56"/>
      <c r="C649" s="56"/>
      <c r="D649" s="5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56"/>
      <c r="B650" s="56"/>
      <c r="C650" s="56"/>
      <c r="D650" s="5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56"/>
      <c r="B651" s="56"/>
      <c r="C651" s="56"/>
      <c r="D651" s="5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56"/>
      <c r="B652" s="56"/>
      <c r="C652" s="56"/>
      <c r="D652" s="5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56"/>
      <c r="B653" s="56"/>
      <c r="C653" s="56"/>
      <c r="D653" s="5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56"/>
      <c r="B654" s="56"/>
      <c r="C654" s="56"/>
      <c r="D654" s="5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56"/>
      <c r="B655" s="56"/>
      <c r="C655" s="56"/>
      <c r="D655" s="5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56"/>
      <c r="B656" s="56"/>
      <c r="C656" s="56"/>
      <c r="D656" s="5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56"/>
      <c r="B657" s="56"/>
      <c r="C657" s="56"/>
      <c r="D657" s="5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56"/>
      <c r="B658" s="56"/>
      <c r="C658" s="56"/>
      <c r="D658" s="5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56"/>
      <c r="B659" s="56"/>
      <c r="C659" s="56"/>
      <c r="D659" s="5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56"/>
      <c r="B660" s="56"/>
      <c r="C660" s="56"/>
      <c r="D660" s="5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56"/>
      <c r="B661" s="56"/>
      <c r="C661" s="56"/>
      <c r="D661" s="5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56"/>
      <c r="B662" s="56"/>
      <c r="C662" s="56"/>
      <c r="D662" s="5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56"/>
      <c r="B663" s="56"/>
      <c r="C663" s="56"/>
      <c r="D663" s="5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56"/>
      <c r="B664" s="56"/>
      <c r="C664" s="56"/>
      <c r="D664" s="5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56"/>
      <c r="B665" s="56"/>
      <c r="C665" s="56"/>
      <c r="D665" s="5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56"/>
      <c r="B666" s="56"/>
      <c r="C666" s="56"/>
      <c r="D666" s="5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56"/>
      <c r="B667" s="56"/>
      <c r="C667" s="56"/>
      <c r="D667" s="5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56"/>
      <c r="B668" s="56"/>
      <c r="C668" s="56"/>
      <c r="D668" s="5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56"/>
      <c r="B669" s="56"/>
      <c r="C669" s="56"/>
      <c r="D669" s="5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56"/>
      <c r="B670" s="56"/>
      <c r="C670" s="56"/>
      <c r="D670" s="5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56"/>
      <c r="B671" s="56"/>
      <c r="C671" s="56"/>
      <c r="D671" s="5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56"/>
      <c r="B672" s="56"/>
      <c r="C672" s="56"/>
      <c r="D672" s="5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56"/>
      <c r="B673" s="56"/>
      <c r="C673" s="56"/>
      <c r="D673" s="5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56"/>
      <c r="B674" s="56"/>
      <c r="C674" s="56"/>
      <c r="D674" s="5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56"/>
      <c r="B675" s="56"/>
      <c r="C675" s="56"/>
      <c r="D675" s="5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56"/>
      <c r="B676" s="56"/>
      <c r="C676" s="56"/>
      <c r="D676" s="5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56"/>
      <c r="B677" s="56"/>
      <c r="C677" s="56"/>
      <c r="D677" s="5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56"/>
      <c r="B678" s="56"/>
      <c r="C678" s="56"/>
      <c r="D678" s="5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56"/>
      <c r="B679" s="56"/>
      <c r="C679" s="56"/>
      <c r="D679" s="5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56"/>
      <c r="B680" s="56"/>
      <c r="C680" s="56"/>
      <c r="D680" s="5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56"/>
      <c r="B681" s="56"/>
      <c r="C681" s="56"/>
      <c r="D681" s="5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56"/>
      <c r="B682" s="56"/>
      <c r="C682" s="56"/>
      <c r="D682" s="5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56"/>
      <c r="B683" s="56"/>
      <c r="C683" s="56"/>
      <c r="D683" s="5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56"/>
      <c r="B684" s="56"/>
      <c r="C684" s="56"/>
      <c r="D684" s="5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56"/>
      <c r="B685" s="56"/>
      <c r="C685" s="56"/>
      <c r="D685" s="5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56"/>
      <c r="B686" s="56"/>
      <c r="C686" s="56"/>
      <c r="D686" s="5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56"/>
      <c r="B687" s="56"/>
      <c r="C687" s="56"/>
      <c r="D687" s="5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56"/>
      <c r="B688" s="56"/>
      <c r="C688" s="56"/>
      <c r="D688" s="5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56"/>
      <c r="B689" s="56"/>
      <c r="C689" s="56"/>
      <c r="D689" s="5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56"/>
      <c r="B690" s="56"/>
      <c r="C690" s="56"/>
      <c r="D690" s="5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56"/>
      <c r="B691" s="56"/>
      <c r="C691" s="56"/>
      <c r="D691" s="5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56"/>
      <c r="B692" s="56"/>
      <c r="C692" s="56"/>
      <c r="D692" s="5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56"/>
      <c r="B693" s="56"/>
      <c r="C693" s="56"/>
      <c r="D693" s="5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56"/>
      <c r="B694" s="56"/>
      <c r="C694" s="56"/>
      <c r="D694" s="5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56"/>
      <c r="B695" s="56"/>
      <c r="C695" s="56"/>
      <c r="D695" s="5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56"/>
      <c r="B696" s="56"/>
      <c r="C696" s="56"/>
      <c r="D696" s="5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56"/>
      <c r="B697" s="56"/>
      <c r="C697" s="56"/>
      <c r="D697" s="5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56"/>
      <c r="B698" s="56"/>
      <c r="C698" s="56"/>
      <c r="D698" s="5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56"/>
      <c r="B699" s="56"/>
      <c r="C699" s="56"/>
      <c r="D699" s="5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56"/>
      <c r="B700" s="56"/>
      <c r="C700" s="56"/>
      <c r="D700" s="5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56"/>
      <c r="B701" s="56"/>
      <c r="C701" s="56"/>
      <c r="D701" s="5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56"/>
      <c r="B702" s="56"/>
      <c r="C702" s="56"/>
      <c r="D702" s="5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56"/>
      <c r="B703" s="56"/>
      <c r="C703" s="56"/>
      <c r="D703" s="5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56"/>
      <c r="B704" s="56"/>
      <c r="C704" s="56"/>
      <c r="D704" s="5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56"/>
      <c r="B705" s="56"/>
      <c r="C705" s="56"/>
      <c r="D705" s="5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56"/>
      <c r="B706" s="56"/>
      <c r="C706" s="56"/>
      <c r="D706" s="5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56"/>
      <c r="B707" s="56"/>
      <c r="C707" s="56"/>
      <c r="D707" s="5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56"/>
      <c r="B708" s="56"/>
      <c r="C708" s="56"/>
      <c r="D708" s="5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56"/>
      <c r="B709" s="56"/>
      <c r="C709" s="56"/>
      <c r="D709" s="5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56"/>
      <c r="B710" s="56"/>
      <c r="C710" s="56"/>
      <c r="D710" s="5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56"/>
      <c r="B711" s="56"/>
      <c r="C711" s="56"/>
      <c r="D711" s="5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56"/>
      <c r="B712" s="56"/>
      <c r="C712" s="56"/>
      <c r="D712" s="5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56"/>
      <c r="B713" s="56"/>
      <c r="C713" s="56"/>
      <c r="D713" s="5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56"/>
      <c r="B714" s="56"/>
      <c r="C714" s="56"/>
      <c r="D714" s="5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56"/>
      <c r="B715" s="56"/>
      <c r="C715" s="56"/>
      <c r="D715" s="5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56"/>
      <c r="B716" s="56"/>
      <c r="C716" s="56"/>
      <c r="D716" s="5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56"/>
      <c r="B717" s="56"/>
      <c r="C717" s="56"/>
      <c r="D717" s="5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56"/>
      <c r="B718" s="56"/>
      <c r="C718" s="56"/>
      <c r="D718" s="5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56"/>
      <c r="B719" s="56"/>
      <c r="C719" s="56"/>
      <c r="D719" s="5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56"/>
      <c r="B720" s="56"/>
      <c r="C720" s="56"/>
      <c r="D720" s="5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56"/>
      <c r="B721" s="56"/>
      <c r="C721" s="56"/>
      <c r="D721" s="5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56"/>
      <c r="B722" s="56"/>
      <c r="C722" s="56"/>
      <c r="D722" s="5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56"/>
      <c r="B723" s="56"/>
      <c r="C723" s="56"/>
      <c r="D723" s="5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56"/>
      <c r="B724" s="56"/>
      <c r="C724" s="56"/>
      <c r="D724" s="5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56"/>
      <c r="B725" s="56"/>
      <c r="C725" s="56"/>
      <c r="D725" s="5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56"/>
      <c r="B726" s="56"/>
      <c r="C726" s="56"/>
      <c r="D726" s="5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56"/>
      <c r="B727" s="56"/>
      <c r="C727" s="56"/>
      <c r="D727" s="5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56"/>
      <c r="B728" s="56"/>
      <c r="C728" s="56"/>
      <c r="D728" s="5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56"/>
      <c r="B729" s="56"/>
      <c r="C729" s="56"/>
      <c r="D729" s="5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56"/>
      <c r="B730" s="56"/>
      <c r="C730" s="56"/>
      <c r="D730" s="5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56"/>
      <c r="B731" s="56"/>
      <c r="C731" s="56"/>
      <c r="D731" s="5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56"/>
      <c r="B732" s="56"/>
      <c r="C732" s="56"/>
      <c r="D732" s="5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56"/>
      <c r="B733" s="56"/>
      <c r="C733" s="56"/>
      <c r="D733" s="5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56"/>
      <c r="B734" s="56"/>
      <c r="C734" s="56"/>
      <c r="D734" s="5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56"/>
      <c r="B735" s="56"/>
      <c r="C735" s="56"/>
      <c r="D735" s="5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56"/>
      <c r="B736" s="56"/>
      <c r="C736" s="56"/>
      <c r="D736" s="5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56"/>
      <c r="B737" s="56"/>
      <c r="C737" s="56"/>
      <c r="D737" s="5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56"/>
      <c r="B738" s="56"/>
      <c r="C738" s="56"/>
      <c r="D738" s="5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56"/>
      <c r="B739" s="56"/>
      <c r="C739" s="56"/>
      <c r="D739" s="5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56"/>
      <c r="B740" s="56"/>
      <c r="C740" s="56"/>
      <c r="D740" s="5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56"/>
      <c r="B741" s="56"/>
      <c r="C741" s="56"/>
      <c r="D741" s="5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56"/>
      <c r="B742" s="56"/>
      <c r="C742" s="56"/>
      <c r="D742" s="5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56"/>
      <c r="B743" s="56"/>
      <c r="C743" s="56"/>
      <c r="D743" s="5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56"/>
      <c r="B744" s="56"/>
      <c r="C744" s="56"/>
      <c r="D744" s="5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56"/>
      <c r="B745" s="56"/>
      <c r="C745" s="56"/>
      <c r="D745" s="5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56"/>
      <c r="B746" s="56"/>
      <c r="C746" s="56"/>
      <c r="D746" s="5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56"/>
      <c r="B747" s="56"/>
      <c r="C747" s="56"/>
      <c r="D747" s="5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56"/>
      <c r="B748" s="56"/>
      <c r="C748" s="56"/>
      <c r="D748" s="5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56"/>
      <c r="B749" s="56"/>
      <c r="C749" s="56"/>
      <c r="D749" s="5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56"/>
      <c r="B750" s="56"/>
      <c r="C750" s="56"/>
      <c r="D750" s="5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56"/>
      <c r="B751" s="56"/>
      <c r="C751" s="56"/>
      <c r="D751" s="5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56"/>
      <c r="B752" s="56"/>
      <c r="C752" s="56"/>
      <c r="D752" s="5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56"/>
      <c r="B753" s="56"/>
      <c r="C753" s="56"/>
      <c r="D753" s="5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56"/>
      <c r="B754" s="56"/>
      <c r="C754" s="56"/>
      <c r="D754" s="5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56"/>
      <c r="B755" s="56"/>
      <c r="C755" s="56"/>
      <c r="D755" s="5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56"/>
      <c r="B756" s="56"/>
      <c r="C756" s="56"/>
      <c r="D756" s="5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56"/>
      <c r="B757" s="56"/>
      <c r="C757" s="56"/>
      <c r="D757" s="5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56"/>
      <c r="B758" s="56"/>
      <c r="C758" s="56"/>
      <c r="D758" s="5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56"/>
      <c r="B759" s="56"/>
      <c r="C759" s="56"/>
      <c r="D759" s="5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56"/>
      <c r="B760" s="56"/>
      <c r="C760" s="56"/>
      <c r="D760" s="5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56"/>
      <c r="B761" s="56"/>
      <c r="C761" s="56"/>
      <c r="D761" s="5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56"/>
      <c r="B762" s="56"/>
      <c r="C762" s="56"/>
      <c r="D762" s="5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56"/>
      <c r="B763" s="56"/>
      <c r="C763" s="56"/>
      <c r="D763" s="5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56"/>
      <c r="B764" s="56"/>
      <c r="C764" s="56"/>
      <c r="D764" s="5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56"/>
      <c r="B765" s="56"/>
      <c r="C765" s="56"/>
      <c r="D765" s="5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56"/>
      <c r="B766" s="56"/>
      <c r="C766" s="56"/>
      <c r="D766" s="5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56"/>
      <c r="B767" s="56"/>
      <c r="C767" s="56"/>
      <c r="D767" s="5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56"/>
      <c r="B768" s="56"/>
      <c r="C768" s="56"/>
      <c r="D768" s="5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56"/>
      <c r="B769" s="56"/>
      <c r="C769" s="56"/>
      <c r="D769" s="5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56"/>
      <c r="B770" s="56"/>
      <c r="C770" s="56"/>
      <c r="D770" s="5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56"/>
      <c r="B771" s="56"/>
      <c r="C771" s="56"/>
      <c r="D771" s="5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56"/>
      <c r="B772" s="56"/>
      <c r="C772" s="56"/>
      <c r="D772" s="5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56"/>
      <c r="B773" s="56"/>
      <c r="C773" s="56"/>
      <c r="D773" s="5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56"/>
      <c r="B774" s="56"/>
      <c r="C774" s="56"/>
      <c r="D774" s="5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56"/>
      <c r="B775" s="56"/>
      <c r="C775" s="56"/>
      <c r="D775" s="5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56"/>
      <c r="B776" s="56"/>
      <c r="C776" s="56"/>
      <c r="D776" s="5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56"/>
      <c r="B777" s="56"/>
      <c r="C777" s="56"/>
      <c r="D777" s="5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56"/>
      <c r="B778" s="56"/>
      <c r="C778" s="56"/>
      <c r="D778" s="5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56"/>
      <c r="B779" s="56"/>
      <c r="C779" s="56"/>
      <c r="D779" s="5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56"/>
      <c r="B780" s="56"/>
      <c r="C780" s="56"/>
      <c r="D780" s="5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56"/>
      <c r="B781" s="56"/>
      <c r="C781" s="56"/>
      <c r="D781" s="5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56"/>
      <c r="B782" s="56"/>
      <c r="C782" s="56"/>
      <c r="D782" s="5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56"/>
      <c r="B783" s="56"/>
      <c r="C783" s="56"/>
      <c r="D783" s="5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56"/>
      <c r="B784" s="56"/>
      <c r="C784" s="56"/>
      <c r="D784" s="5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56"/>
      <c r="B785" s="56"/>
      <c r="C785" s="56"/>
      <c r="D785" s="5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56"/>
      <c r="B786" s="56"/>
      <c r="C786" s="56"/>
      <c r="D786" s="5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56"/>
      <c r="B787" s="56"/>
      <c r="C787" s="56"/>
      <c r="D787" s="5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56"/>
      <c r="B788" s="56"/>
      <c r="C788" s="56"/>
      <c r="D788" s="5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56"/>
      <c r="B789" s="56"/>
      <c r="C789" s="56"/>
      <c r="D789" s="5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56"/>
      <c r="B790" s="56"/>
      <c r="C790" s="56"/>
      <c r="D790" s="5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56"/>
      <c r="B791" s="56"/>
      <c r="C791" s="56"/>
      <c r="D791" s="5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56"/>
      <c r="B792" s="56"/>
      <c r="C792" s="56"/>
      <c r="D792" s="5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56"/>
      <c r="B793" s="56"/>
      <c r="C793" s="56"/>
      <c r="D793" s="5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56"/>
      <c r="B794" s="56"/>
      <c r="C794" s="56"/>
      <c r="D794" s="5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56"/>
      <c r="B795" s="56"/>
      <c r="C795" s="56"/>
      <c r="D795" s="5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56"/>
      <c r="B796" s="56"/>
      <c r="C796" s="56"/>
      <c r="D796" s="5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56"/>
      <c r="B797" s="56"/>
      <c r="C797" s="56"/>
      <c r="D797" s="5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56"/>
      <c r="B798" s="56"/>
      <c r="C798" s="56"/>
      <c r="D798" s="5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56"/>
      <c r="B799" s="56"/>
      <c r="C799" s="56"/>
      <c r="D799" s="5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56"/>
      <c r="B800" s="56"/>
      <c r="C800" s="56"/>
      <c r="D800" s="5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56"/>
      <c r="B801" s="56"/>
      <c r="C801" s="56"/>
      <c r="D801" s="5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56"/>
      <c r="B802" s="56"/>
      <c r="C802" s="56"/>
      <c r="D802" s="5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56"/>
      <c r="B803" s="56"/>
      <c r="C803" s="56"/>
      <c r="D803" s="5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56"/>
      <c r="B804" s="56"/>
      <c r="C804" s="56"/>
      <c r="D804" s="5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56"/>
      <c r="B805" s="56"/>
      <c r="C805" s="56"/>
      <c r="D805" s="5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56"/>
      <c r="B806" s="56"/>
      <c r="C806" s="56"/>
      <c r="D806" s="5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56"/>
      <c r="B807" s="56"/>
      <c r="C807" s="56"/>
      <c r="D807" s="5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56"/>
      <c r="B808" s="56"/>
      <c r="C808" s="56"/>
      <c r="D808" s="5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56"/>
      <c r="B809" s="56"/>
      <c r="C809" s="56"/>
      <c r="D809" s="5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56"/>
      <c r="B810" s="56"/>
      <c r="C810" s="56"/>
      <c r="D810" s="5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56"/>
      <c r="B811" s="56"/>
      <c r="C811" s="56"/>
      <c r="D811" s="5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56"/>
      <c r="B812" s="56"/>
      <c r="C812" s="56"/>
      <c r="D812" s="5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56"/>
      <c r="B813" s="56"/>
      <c r="C813" s="56"/>
      <c r="D813" s="5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56"/>
      <c r="B814" s="56"/>
      <c r="C814" s="56"/>
      <c r="D814" s="5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56"/>
      <c r="B815" s="56"/>
      <c r="C815" s="56"/>
      <c r="D815" s="5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56"/>
      <c r="B816" s="56"/>
      <c r="C816" s="56"/>
      <c r="D816" s="5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56"/>
      <c r="B817" s="56"/>
      <c r="C817" s="56"/>
      <c r="D817" s="5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56"/>
      <c r="B818" s="56"/>
      <c r="C818" s="56"/>
      <c r="D818" s="5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56"/>
      <c r="B819" s="56"/>
      <c r="C819" s="56"/>
      <c r="D819" s="5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56"/>
      <c r="B820" s="56"/>
      <c r="C820" s="56"/>
      <c r="D820" s="5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56"/>
      <c r="B821" s="56"/>
      <c r="C821" s="56"/>
      <c r="D821" s="5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56"/>
      <c r="B822" s="56"/>
      <c r="C822" s="56"/>
      <c r="D822" s="5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56"/>
      <c r="B823" s="56"/>
      <c r="C823" s="56"/>
      <c r="D823" s="5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56"/>
      <c r="B824" s="56"/>
      <c r="C824" s="56"/>
      <c r="D824" s="5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56"/>
      <c r="B825" s="56"/>
      <c r="C825" s="56"/>
      <c r="D825" s="5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56"/>
      <c r="B826" s="56"/>
      <c r="C826" s="56"/>
      <c r="D826" s="5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56"/>
      <c r="B827" s="56"/>
      <c r="C827" s="56"/>
      <c r="D827" s="5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56"/>
      <c r="B828" s="56"/>
      <c r="C828" s="56"/>
      <c r="D828" s="5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56"/>
      <c r="B829" s="56"/>
      <c r="C829" s="56"/>
      <c r="D829" s="5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56"/>
      <c r="B830" s="56"/>
      <c r="C830" s="56"/>
      <c r="D830" s="5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56"/>
      <c r="B831" s="56"/>
      <c r="C831" s="56"/>
      <c r="D831" s="5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56"/>
      <c r="B832" s="56"/>
      <c r="C832" s="56"/>
      <c r="D832" s="5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56"/>
      <c r="B833" s="56"/>
      <c r="C833" s="56"/>
      <c r="D833" s="5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56"/>
      <c r="B834" s="56"/>
      <c r="C834" s="56"/>
      <c r="D834" s="5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56"/>
      <c r="B835" s="56"/>
      <c r="C835" s="56"/>
      <c r="D835" s="5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56"/>
      <c r="B836" s="56"/>
      <c r="C836" s="56"/>
      <c r="D836" s="5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56"/>
      <c r="B837" s="56"/>
      <c r="C837" s="56"/>
      <c r="D837" s="5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56"/>
      <c r="B838" s="56"/>
      <c r="C838" s="56"/>
      <c r="D838" s="5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56"/>
      <c r="B839" s="56"/>
      <c r="C839" s="56"/>
      <c r="D839" s="5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56"/>
      <c r="B840" s="56"/>
      <c r="C840" s="56"/>
      <c r="D840" s="5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56"/>
      <c r="B841" s="56"/>
      <c r="C841" s="56"/>
      <c r="D841" s="5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56"/>
      <c r="B842" s="56"/>
      <c r="C842" s="56"/>
      <c r="D842" s="5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56"/>
      <c r="B843" s="56"/>
      <c r="C843" s="56"/>
      <c r="D843" s="5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56"/>
      <c r="B844" s="56"/>
      <c r="C844" s="56"/>
      <c r="D844" s="5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56"/>
      <c r="B845" s="56"/>
      <c r="C845" s="56"/>
      <c r="D845" s="5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56"/>
      <c r="B846" s="56"/>
      <c r="C846" s="56"/>
      <c r="D846" s="5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56"/>
      <c r="B847" s="56"/>
      <c r="C847" s="56"/>
      <c r="D847" s="5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56"/>
      <c r="B848" s="56"/>
      <c r="C848" s="56"/>
      <c r="D848" s="5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56"/>
      <c r="B849" s="56"/>
      <c r="C849" s="56"/>
      <c r="D849" s="5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56"/>
      <c r="B850" s="56"/>
      <c r="C850" s="56"/>
      <c r="D850" s="5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56"/>
      <c r="B851" s="56"/>
      <c r="C851" s="56"/>
      <c r="D851" s="5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56"/>
      <c r="B852" s="56"/>
      <c r="C852" s="56"/>
      <c r="D852" s="5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56"/>
      <c r="B853" s="56"/>
      <c r="C853" s="56"/>
      <c r="D853" s="5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56"/>
      <c r="B854" s="56"/>
      <c r="C854" s="56"/>
      <c r="D854" s="5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56"/>
      <c r="B855" s="56"/>
      <c r="C855" s="56"/>
      <c r="D855" s="5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56"/>
      <c r="B856" s="56"/>
      <c r="C856" s="56"/>
      <c r="D856" s="5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56"/>
      <c r="B857" s="56"/>
      <c r="C857" s="56"/>
      <c r="D857" s="5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56"/>
      <c r="B858" s="56"/>
      <c r="C858" s="56"/>
      <c r="D858" s="5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56"/>
      <c r="B859" s="56"/>
      <c r="C859" s="56"/>
      <c r="D859" s="5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56"/>
      <c r="B860" s="56"/>
      <c r="C860" s="56"/>
      <c r="D860" s="5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56"/>
      <c r="B861" s="56"/>
      <c r="C861" s="56"/>
      <c r="D861" s="5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56"/>
      <c r="B862" s="56"/>
      <c r="C862" s="56"/>
      <c r="D862" s="5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56"/>
      <c r="B863" s="56"/>
      <c r="C863" s="56"/>
      <c r="D863" s="5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56"/>
      <c r="B864" s="56"/>
      <c r="C864" s="56"/>
      <c r="D864" s="5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56"/>
      <c r="B865" s="56"/>
      <c r="C865" s="56"/>
      <c r="D865" s="5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56"/>
      <c r="B866" s="56"/>
      <c r="C866" s="56"/>
      <c r="D866" s="5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56"/>
      <c r="B867" s="56"/>
      <c r="C867" s="56"/>
      <c r="D867" s="5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56"/>
      <c r="B868" s="56"/>
      <c r="C868" s="56"/>
      <c r="D868" s="5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56"/>
      <c r="B869" s="56"/>
      <c r="C869" s="56"/>
      <c r="D869" s="5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56"/>
      <c r="B870" s="56"/>
      <c r="C870" s="56"/>
      <c r="D870" s="5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56"/>
      <c r="B871" s="56"/>
      <c r="C871" s="56"/>
      <c r="D871" s="5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56"/>
      <c r="B872" s="56"/>
      <c r="C872" s="56"/>
      <c r="D872" s="5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56"/>
      <c r="B873" s="56"/>
      <c r="C873" s="56"/>
      <c r="D873" s="5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56"/>
      <c r="B874" s="56"/>
      <c r="C874" s="56"/>
      <c r="D874" s="5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56"/>
      <c r="B875" s="56"/>
      <c r="C875" s="56"/>
      <c r="D875" s="5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56"/>
      <c r="B876" s="56"/>
      <c r="C876" s="56"/>
      <c r="D876" s="5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56"/>
      <c r="B877" s="56"/>
      <c r="C877" s="56"/>
      <c r="D877" s="5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56"/>
      <c r="B878" s="56"/>
      <c r="C878" s="56"/>
      <c r="D878" s="5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56"/>
      <c r="B879" s="56"/>
      <c r="C879" s="56"/>
      <c r="D879" s="5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56"/>
      <c r="B880" s="56"/>
      <c r="C880" s="56"/>
      <c r="D880" s="5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56"/>
      <c r="B881" s="56"/>
      <c r="C881" s="56"/>
      <c r="D881" s="5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56"/>
      <c r="B882" s="56"/>
      <c r="C882" s="56"/>
      <c r="D882" s="5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56"/>
      <c r="B883" s="56"/>
      <c r="C883" s="56"/>
      <c r="D883" s="5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56"/>
      <c r="B884" s="56"/>
      <c r="C884" s="56"/>
      <c r="D884" s="5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</sheetData>
  <mergeCells count="247">
    <mergeCell ref="B282:C282"/>
    <mergeCell ref="B289:D289"/>
    <mergeCell ref="B291:D291"/>
    <mergeCell ref="C293:D293"/>
    <mergeCell ref="C294:D294"/>
    <mergeCell ref="C295:D295"/>
    <mergeCell ref="C296:D296"/>
    <mergeCell ref="C297:D297"/>
    <mergeCell ref="C298:D298"/>
    <mergeCell ref="B301:D301"/>
    <mergeCell ref="B304:C304"/>
    <mergeCell ref="B305:D305"/>
    <mergeCell ref="B308:C308"/>
    <mergeCell ref="C309:D309"/>
    <mergeCell ref="B367:D367"/>
    <mergeCell ref="B369:D369"/>
    <mergeCell ref="C371:D371"/>
    <mergeCell ref="C372:D372"/>
    <mergeCell ref="C373:D373"/>
    <mergeCell ref="C374:D374"/>
    <mergeCell ref="C375:D375"/>
    <mergeCell ref="C389:D389"/>
    <mergeCell ref="C390:D390"/>
    <mergeCell ref="C376:D376"/>
    <mergeCell ref="B379:D379"/>
    <mergeCell ref="B382:C382"/>
    <mergeCell ref="B383:D383"/>
    <mergeCell ref="B386:C386"/>
    <mergeCell ref="C387:D387"/>
    <mergeCell ref="C388:D388"/>
    <mergeCell ref="B214:D214"/>
    <mergeCell ref="C216:D216"/>
    <mergeCell ref="C217:D217"/>
    <mergeCell ref="C218:D218"/>
    <mergeCell ref="C219:D219"/>
    <mergeCell ref="C220:D220"/>
    <mergeCell ref="C221:D221"/>
    <mergeCell ref="C223:D223"/>
    <mergeCell ref="B226:C226"/>
    <mergeCell ref="B227:D227"/>
    <mergeCell ref="B230:C230"/>
    <mergeCell ref="C231:D231"/>
    <mergeCell ref="C232:D232"/>
    <mergeCell ref="C233:D233"/>
    <mergeCell ref="C234:D234"/>
    <mergeCell ref="B237:D237"/>
    <mergeCell ref="B239:D239"/>
    <mergeCell ref="C241:D241"/>
    <mergeCell ref="C242:D242"/>
    <mergeCell ref="C243:D243"/>
    <mergeCell ref="C244:D244"/>
    <mergeCell ref="C245:D245"/>
    <mergeCell ref="C246:D246"/>
    <mergeCell ref="B249:D249"/>
    <mergeCell ref="B252:C252"/>
    <mergeCell ref="B253:D253"/>
    <mergeCell ref="B256:C256"/>
    <mergeCell ref="C257:D257"/>
    <mergeCell ref="C258:D258"/>
    <mergeCell ref="C259:D259"/>
    <mergeCell ref="C260:D260"/>
    <mergeCell ref="B263:D263"/>
    <mergeCell ref="B265:D265"/>
    <mergeCell ref="C267:D267"/>
    <mergeCell ref="C268:D268"/>
    <mergeCell ref="C269:D269"/>
    <mergeCell ref="C270:D270"/>
    <mergeCell ref="C271:D271"/>
    <mergeCell ref="C272:D272"/>
    <mergeCell ref="B275:D275"/>
    <mergeCell ref="B278:C278"/>
    <mergeCell ref="B279:D279"/>
    <mergeCell ref="B356:C356"/>
    <mergeCell ref="B357:D357"/>
    <mergeCell ref="B360:C360"/>
    <mergeCell ref="C361:D361"/>
    <mergeCell ref="C362:D362"/>
    <mergeCell ref="C363:D363"/>
    <mergeCell ref="C364:D364"/>
    <mergeCell ref="C60:D60"/>
    <mergeCell ref="B63:D63"/>
    <mergeCell ref="B65:D65"/>
    <mergeCell ref="C67:D67"/>
    <mergeCell ref="C68:D68"/>
    <mergeCell ref="C69:D69"/>
    <mergeCell ref="C70:D70"/>
    <mergeCell ref="C71:D71"/>
    <mergeCell ref="C72:D72"/>
    <mergeCell ref="C74:D74"/>
    <mergeCell ref="B77:C77"/>
    <mergeCell ref="B78:D78"/>
    <mergeCell ref="B81:C81"/>
    <mergeCell ref="C82:D82"/>
    <mergeCell ref="C83:D83"/>
    <mergeCell ref="C84:D84"/>
    <mergeCell ref="C85:D85"/>
    <mergeCell ref="B88:D88"/>
    <mergeCell ref="B90:D90"/>
    <mergeCell ref="C92:D92"/>
    <mergeCell ref="C93:D93"/>
    <mergeCell ref="C94:D94"/>
    <mergeCell ref="C95:D95"/>
    <mergeCell ref="C96:D96"/>
    <mergeCell ref="C97:D97"/>
    <mergeCell ref="C99:D99"/>
    <mergeCell ref="B101:C101"/>
    <mergeCell ref="B102:D102"/>
    <mergeCell ref="B105:C105"/>
    <mergeCell ref="C106:D106"/>
    <mergeCell ref="C107:D107"/>
    <mergeCell ref="C108:D108"/>
    <mergeCell ref="C109:D109"/>
    <mergeCell ref="B112:D112"/>
    <mergeCell ref="B114:D114"/>
    <mergeCell ref="C116:D116"/>
    <mergeCell ref="C117:D117"/>
    <mergeCell ref="C118:D118"/>
    <mergeCell ref="C119:D119"/>
    <mergeCell ref="C120:D120"/>
    <mergeCell ref="C121:D121"/>
    <mergeCell ref="C123:D123"/>
    <mergeCell ref="B1:D1"/>
    <mergeCell ref="B2:D2"/>
    <mergeCell ref="B3:D3"/>
    <mergeCell ref="B4:D4"/>
    <mergeCell ref="B5:D5"/>
    <mergeCell ref="B6:D6"/>
    <mergeCell ref="B7:D7"/>
    <mergeCell ref="B9:D9"/>
    <mergeCell ref="B10:D10"/>
    <mergeCell ref="B12:D12"/>
    <mergeCell ref="B14:D14"/>
    <mergeCell ref="B15:C15"/>
    <mergeCell ref="C16:D16"/>
    <mergeCell ref="C17:D17"/>
    <mergeCell ref="C18:D18"/>
    <mergeCell ref="C19:D19"/>
    <mergeCell ref="C20:D20"/>
    <mergeCell ref="C21:D21"/>
    <mergeCell ref="B23:D23"/>
    <mergeCell ref="B27:C27"/>
    <mergeCell ref="B28:D28"/>
    <mergeCell ref="B31:C31"/>
    <mergeCell ref="C32:D32"/>
    <mergeCell ref="C33:D33"/>
    <mergeCell ref="C34:D34"/>
    <mergeCell ref="C35:D35"/>
    <mergeCell ref="B38:D38"/>
    <mergeCell ref="B40:D40"/>
    <mergeCell ref="B41:C41"/>
    <mergeCell ref="C42:D42"/>
    <mergeCell ref="C43:D43"/>
    <mergeCell ref="C44:D44"/>
    <mergeCell ref="C45:D45"/>
    <mergeCell ref="C46:D46"/>
    <mergeCell ref="C47:D47"/>
    <mergeCell ref="C49:D49"/>
    <mergeCell ref="B52:C52"/>
    <mergeCell ref="B53:D53"/>
    <mergeCell ref="B56:C56"/>
    <mergeCell ref="C57:D57"/>
    <mergeCell ref="C58:D58"/>
    <mergeCell ref="C59:D59"/>
    <mergeCell ref="B126:C126"/>
    <mergeCell ref="B127:D127"/>
    <mergeCell ref="B130:C130"/>
    <mergeCell ref="C131:D131"/>
    <mergeCell ref="C132:D132"/>
    <mergeCell ref="C133:D133"/>
    <mergeCell ref="C134:D134"/>
    <mergeCell ref="B137:D137"/>
    <mergeCell ref="B139:D139"/>
    <mergeCell ref="C141:D141"/>
    <mergeCell ref="C142:D142"/>
    <mergeCell ref="C143:D143"/>
    <mergeCell ref="C144:D144"/>
    <mergeCell ref="C145:D145"/>
    <mergeCell ref="C146:D146"/>
    <mergeCell ref="C148:D148"/>
    <mergeCell ref="B151:C151"/>
    <mergeCell ref="B152:D152"/>
    <mergeCell ref="B155:C155"/>
    <mergeCell ref="C156:D156"/>
    <mergeCell ref="C157:D157"/>
    <mergeCell ref="C158:D158"/>
    <mergeCell ref="C159:D159"/>
    <mergeCell ref="B162:D162"/>
    <mergeCell ref="B164:D164"/>
    <mergeCell ref="C166:D166"/>
    <mergeCell ref="C167:D167"/>
    <mergeCell ref="C168:D168"/>
    <mergeCell ref="C169:D169"/>
    <mergeCell ref="C170:D170"/>
    <mergeCell ref="C171:D171"/>
    <mergeCell ref="C173:D173"/>
    <mergeCell ref="B176:C176"/>
    <mergeCell ref="B177:D177"/>
    <mergeCell ref="B180:C180"/>
    <mergeCell ref="C181:D181"/>
    <mergeCell ref="C182:D182"/>
    <mergeCell ref="C183:D183"/>
    <mergeCell ref="C184:D184"/>
    <mergeCell ref="B187:D187"/>
    <mergeCell ref="B189:D189"/>
    <mergeCell ref="C191:D191"/>
    <mergeCell ref="C192:D192"/>
    <mergeCell ref="C193:D193"/>
    <mergeCell ref="C194:D194"/>
    <mergeCell ref="C195:D195"/>
    <mergeCell ref="C196:D196"/>
    <mergeCell ref="C198:D198"/>
    <mergeCell ref="B202:D202"/>
    <mergeCell ref="B201:C201"/>
    <mergeCell ref="B205:C205"/>
    <mergeCell ref="C206:D206"/>
    <mergeCell ref="C207:D207"/>
    <mergeCell ref="C208:D208"/>
    <mergeCell ref="C209:D209"/>
    <mergeCell ref="B212:D212"/>
    <mergeCell ref="C310:D310"/>
    <mergeCell ref="C311:D311"/>
    <mergeCell ref="C312:D312"/>
    <mergeCell ref="B315:D315"/>
    <mergeCell ref="B317:D317"/>
    <mergeCell ref="C319:D319"/>
    <mergeCell ref="C320:D320"/>
    <mergeCell ref="C321:D321"/>
    <mergeCell ref="C322:D322"/>
    <mergeCell ref="C323:D323"/>
    <mergeCell ref="C324:D324"/>
    <mergeCell ref="B327:D327"/>
    <mergeCell ref="B330:C330"/>
    <mergeCell ref="B331:D331"/>
    <mergeCell ref="B334:C334"/>
    <mergeCell ref="C335:D335"/>
    <mergeCell ref="C336:D336"/>
    <mergeCell ref="C337:D337"/>
    <mergeCell ref="C338:D338"/>
    <mergeCell ref="B341:D341"/>
    <mergeCell ref="B343:D343"/>
    <mergeCell ref="C345:D345"/>
    <mergeCell ref="C346:D346"/>
    <mergeCell ref="C347:D347"/>
    <mergeCell ref="C348:D348"/>
    <mergeCell ref="C349:D349"/>
    <mergeCell ref="C350:D350"/>
    <mergeCell ref="B353:D3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38"/>
    <col customWidth="1" min="3" max="3" width="34.63"/>
    <col customWidth="1" min="4" max="4" width="62.38"/>
    <col customWidth="1" min="5" max="5" width="14.38"/>
    <col customWidth="1" min="6" max="6" width="14.75"/>
    <col customWidth="1" min="7" max="7" width="13.38"/>
    <col customWidth="1" min="8" max="8" width="11.38"/>
    <col customWidth="1" min="9" max="10" width="15.0"/>
    <col customWidth="1" min="11" max="12" width="17.38"/>
    <col customWidth="1" min="13" max="13" width="20.0"/>
  </cols>
  <sheetData>
    <row r="1" ht="39.75" customHeight="1">
      <c r="A1" s="168" t="s">
        <v>369</v>
      </c>
      <c r="L1" s="16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B2" s="48"/>
      <c r="C2" s="48"/>
      <c r="D2" s="48"/>
      <c r="E2" s="1"/>
      <c r="F2" s="1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50"/>
      <c r="B3" s="50"/>
      <c r="C3" s="50"/>
      <c r="D3" s="1"/>
      <c r="E3" s="1"/>
      <c r="F3" s="1"/>
      <c r="G3" s="4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69" t="s">
        <v>370</v>
      </c>
      <c r="B4" s="52"/>
      <c r="C4" s="53"/>
      <c r="D4" s="170" t="s">
        <v>371</v>
      </c>
      <c r="E4" s="52"/>
      <c r="F4" s="52"/>
      <c r="G4" s="52"/>
      <c r="H4" s="52"/>
      <c r="I4" s="52"/>
      <c r="J4" s="52"/>
      <c r="K4" s="53"/>
      <c r="L4" s="17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5"/>
      <c r="B5" s="56"/>
      <c r="C5" s="56"/>
      <c r="D5" s="1"/>
      <c r="E5" s="1"/>
      <c r="F5" s="1"/>
      <c r="G5" s="4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8.0" customHeight="1">
      <c r="A6" s="57"/>
      <c r="B6" s="58"/>
      <c r="C6" s="59"/>
      <c r="D6" s="60"/>
      <c r="E6" s="61"/>
      <c r="F6" s="61"/>
      <c r="G6" s="62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</row>
    <row r="7" ht="28.5" customHeight="1">
      <c r="A7" s="63" t="s">
        <v>126</v>
      </c>
      <c r="B7" s="64"/>
      <c r="C7" s="65"/>
      <c r="D7" s="60"/>
      <c r="E7" s="61"/>
      <c r="F7" s="61"/>
      <c r="G7" s="62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</row>
    <row r="8" ht="28.5" customHeight="1">
      <c r="A8" s="66" t="s">
        <v>372</v>
      </c>
      <c r="B8" s="64"/>
      <c r="C8" s="65"/>
      <c r="D8" s="60"/>
      <c r="E8" s="61"/>
      <c r="F8" s="61"/>
      <c r="G8" s="62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</row>
    <row r="9" ht="28.5" customHeight="1">
      <c r="A9" s="67"/>
      <c r="B9" s="68" t="s">
        <v>128</v>
      </c>
      <c r="C9" s="69">
        <f>H30</f>
        <v>50</v>
      </c>
      <c r="D9" s="1"/>
      <c r="E9" s="1"/>
      <c r="F9" s="1"/>
      <c r="G9" s="4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8.5" customHeight="1">
      <c r="A10" s="67"/>
      <c r="B10" s="68" t="s">
        <v>129</v>
      </c>
      <c r="C10" s="172">
        <f>(C9/I30)*100</f>
        <v>62.5</v>
      </c>
      <c r="D10" s="1"/>
      <c r="E10" s="1"/>
      <c r="F10" s="1"/>
      <c r="G10" s="4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71"/>
      <c r="B11" s="72"/>
      <c r="C11" s="73"/>
      <c r="D11" s="1"/>
      <c r="E11" s="1"/>
      <c r="F11" s="1"/>
      <c r="G11" s="4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6"/>
      <c r="B12" s="56"/>
      <c r="C12" s="56"/>
      <c r="D12" s="1"/>
      <c r="E12" s="1"/>
      <c r="F12" s="1"/>
      <c r="G12" s="4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74"/>
      <c r="B13" s="74"/>
      <c r="C13" s="74"/>
      <c r="D13" s="74"/>
      <c r="E13" s="173" t="s">
        <v>134</v>
      </c>
      <c r="F13" s="85"/>
      <c r="G13" s="85"/>
      <c r="H13" s="85"/>
      <c r="I13" s="85"/>
      <c r="J13" s="84" t="s">
        <v>135</v>
      </c>
      <c r="K13" s="85"/>
      <c r="L13" s="85"/>
      <c r="M13" s="86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>
      <c r="A14" s="90" t="s">
        <v>130</v>
      </c>
      <c r="B14" s="174" t="s">
        <v>131</v>
      </c>
      <c r="C14" s="174" t="s">
        <v>132</v>
      </c>
      <c r="D14" s="175" t="s">
        <v>133</v>
      </c>
      <c r="E14" s="176" t="s">
        <v>136</v>
      </c>
      <c r="F14" s="177" t="s">
        <v>137</v>
      </c>
      <c r="G14" s="178" t="s">
        <v>138</v>
      </c>
      <c r="H14" s="179" t="s">
        <v>139</v>
      </c>
      <c r="I14" s="180" t="s">
        <v>373</v>
      </c>
      <c r="J14" s="181" t="s">
        <v>140</v>
      </c>
      <c r="K14" s="182" t="s">
        <v>139</v>
      </c>
      <c r="L14" s="183" t="s">
        <v>373</v>
      </c>
      <c r="M14" s="184" t="s">
        <v>141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</row>
    <row r="15">
      <c r="A15" s="97" t="s">
        <v>374</v>
      </c>
      <c r="B15" s="185" t="s">
        <v>375</v>
      </c>
      <c r="C15" s="186" t="s">
        <v>376</v>
      </c>
      <c r="D15" s="187" t="s">
        <v>377</v>
      </c>
      <c r="E15" s="101"/>
      <c r="F15" s="102"/>
      <c r="G15" s="103" t="s">
        <v>378</v>
      </c>
      <c r="H15" s="104" t="str">
        <f t="shared" ref="H15:H29" si="1">if(G15=0,(0*20),if(G15=0.25,(0.25*20),if(G15=0.5,(0.5*20),if(G15=0.75,(0.75*20),if(G15=1,(1*20),"NA")))))</f>
        <v>NA</v>
      </c>
      <c r="I15" s="104" t="str">
        <f t="shared" ref="I15:I29" si="2">if(ISNUMBER(H15),20,H15)</f>
        <v>NA</v>
      </c>
      <c r="J15" s="103" t="s">
        <v>378</v>
      </c>
      <c r="K15" s="104" t="str">
        <f t="shared" ref="K15:K29" si="3">if(J15=0,(0*20),if(J15=0.25,(0.25*20),if(J15=0.5,(0.5*20),if(J15=0.75,(0.75*20),if(J15=1,(1*20),"NA")))))</f>
        <v>NA</v>
      </c>
      <c r="L15" s="104" t="str">
        <f t="shared" ref="L15:L29" si="4">if(ISNUMBER(K15),20,K15)</f>
        <v>NA</v>
      </c>
      <c r="M15" s="18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08"/>
      <c r="B16" s="189" t="s">
        <v>379</v>
      </c>
      <c r="C16" s="186" t="s">
        <v>380</v>
      </c>
      <c r="D16" s="187" t="s">
        <v>377</v>
      </c>
      <c r="E16" s="101"/>
      <c r="F16" s="102"/>
      <c r="G16" s="103">
        <v>1.0</v>
      </c>
      <c r="H16" s="104">
        <f t="shared" si="1"/>
        <v>20</v>
      </c>
      <c r="I16" s="104">
        <f t="shared" si="2"/>
        <v>20</v>
      </c>
      <c r="J16" s="103">
        <v>0.75</v>
      </c>
      <c r="K16" s="104">
        <f t="shared" si="3"/>
        <v>15</v>
      </c>
      <c r="L16" s="104">
        <f t="shared" si="4"/>
        <v>20</v>
      </c>
      <c r="M16" s="18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08"/>
      <c r="B17" s="189" t="s">
        <v>381</v>
      </c>
      <c r="C17" s="186" t="s">
        <v>382</v>
      </c>
      <c r="D17" s="187" t="s">
        <v>383</v>
      </c>
      <c r="E17" s="110"/>
      <c r="F17" s="111"/>
      <c r="G17" s="103" t="s">
        <v>378</v>
      </c>
      <c r="H17" s="104" t="str">
        <f t="shared" si="1"/>
        <v>NA</v>
      </c>
      <c r="I17" s="104" t="str">
        <f t="shared" si="2"/>
        <v>NA</v>
      </c>
      <c r="J17" s="103">
        <v>0.5</v>
      </c>
      <c r="K17" s="104">
        <f t="shared" si="3"/>
        <v>10</v>
      </c>
      <c r="L17" s="104">
        <f t="shared" si="4"/>
        <v>20</v>
      </c>
      <c r="M17" s="18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12"/>
      <c r="B18" s="189" t="s">
        <v>384</v>
      </c>
      <c r="C18" s="186" t="s">
        <v>385</v>
      </c>
      <c r="D18" s="190" t="s">
        <v>383</v>
      </c>
      <c r="E18" s="110"/>
      <c r="F18" s="111"/>
      <c r="G18" s="103" t="s">
        <v>378</v>
      </c>
      <c r="H18" s="104" t="str">
        <f t="shared" si="1"/>
        <v>NA</v>
      </c>
      <c r="I18" s="104" t="str">
        <f t="shared" si="2"/>
        <v>NA</v>
      </c>
      <c r="J18" s="103" t="s">
        <v>378</v>
      </c>
      <c r="K18" s="104" t="str">
        <f t="shared" si="3"/>
        <v>NA</v>
      </c>
      <c r="L18" s="104" t="str">
        <f t="shared" si="4"/>
        <v>NA</v>
      </c>
      <c r="M18" s="18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14"/>
      <c r="B19" s="189" t="s">
        <v>386</v>
      </c>
      <c r="C19" s="186" t="s">
        <v>387</v>
      </c>
      <c r="D19" s="187" t="s">
        <v>383</v>
      </c>
      <c r="E19" s="110"/>
      <c r="F19" s="111"/>
      <c r="G19" s="103" t="s">
        <v>378</v>
      </c>
      <c r="H19" s="104" t="str">
        <f t="shared" si="1"/>
        <v>NA</v>
      </c>
      <c r="I19" s="104" t="str">
        <f t="shared" si="2"/>
        <v>NA</v>
      </c>
      <c r="J19" s="103" t="s">
        <v>378</v>
      </c>
      <c r="K19" s="104" t="str">
        <f t="shared" si="3"/>
        <v>NA</v>
      </c>
      <c r="L19" s="104" t="str">
        <f t="shared" si="4"/>
        <v>NA</v>
      </c>
      <c r="M19" s="18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08"/>
      <c r="B20" s="189" t="s">
        <v>388</v>
      </c>
      <c r="C20" s="186" t="s">
        <v>389</v>
      </c>
      <c r="D20" s="187" t="s">
        <v>383</v>
      </c>
      <c r="E20" s="101"/>
      <c r="F20" s="102"/>
      <c r="G20" s="103">
        <v>0.5</v>
      </c>
      <c r="H20" s="104">
        <f t="shared" si="1"/>
        <v>10</v>
      </c>
      <c r="I20" s="104">
        <f t="shared" si="2"/>
        <v>20</v>
      </c>
      <c r="J20" s="103" t="s">
        <v>378</v>
      </c>
      <c r="K20" s="104" t="str">
        <f t="shared" si="3"/>
        <v>NA</v>
      </c>
      <c r="L20" s="104" t="str">
        <f t="shared" si="4"/>
        <v>NA</v>
      </c>
      <c r="M20" s="18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15"/>
      <c r="B21" s="189" t="s">
        <v>390</v>
      </c>
      <c r="C21" s="186" t="s">
        <v>391</v>
      </c>
      <c r="D21" s="187" t="s">
        <v>383</v>
      </c>
      <c r="E21" s="101"/>
      <c r="F21" s="102"/>
      <c r="G21" s="103">
        <v>0.75</v>
      </c>
      <c r="H21" s="104">
        <f t="shared" si="1"/>
        <v>15</v>
      </c>
      <c r="I21" s="104">
        <f t="shared" si="2"/>
        <v>20</v>
      </c>
      <c r="J21" s="103" t="s">
        <v>378</v>
      </c>
      <c r="K21" s="104" t="str">
        <f t="shared" si="3"/>
        <v>NA</v>
      </c>
      <c r="L21" s="104" t="str">
        <f t="shared" si="4"/>
        <v>NA</v>
      </c>
      <c r="M21" s="18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15"/>
      <c r="B22" s="189" t="s">
        <v>392</v>
      </c>
      <c r="C22" s="186" t="s">
        <v>393</v>
      </c>
      <c r="D22" s="187" t="s">
        <v>383</v>
      </c>
      <c r="E22" s="101"/>
      <c r="F22" s="102"/>
      <c r="G22" s="103">
        <v>0.25</v>
      </c>
      <c r="H22" s="104">
        <f t="shared" si="1"/>
        <v>5</v>
      </c>
      <c r="I22" s="104">
        <f t="shared" si="2"/>
        <v>20</v>
      </c>
      <c r="J22" s="103" t="s">
        <v>378</v>
      </c>
      <c r="K22" s="104" t="str">
        <f t="shared" si="3"/>
        <v>NA</v>
      </c>
      <c r="L22" s="104" t="str">
        <f t="shared" si="4"/>
        <v>NA</v>
      </c>
      <c r="M22" s="18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08"/>
      <c r="B23" s="189" t="s">
        <v>394</v>
      </c>
      <c r="C23" s="186" t="s">
        <v>395</v>
      </c>
      <c r="D23" s="187" t="s">
        <v>383</v>
      </c>
      <c r="E23" s="101"/>
      <c r="F23" s="102"/>
      <c r="G23" s="103" t="s">
        <v>378</v>
      </c>
      <c r="H23" s="104" t="str">
        <f t="shared" si="1"/>
        <v>NA</v>
      </c>
      <c r="I23" s="104" t="str">
        <f t="shared" si="2"/>
        <v>NA</v>
      </c>
      <c r="J23" s="103" t="s">
        <v>378</v>
      </c>
      <c r="K23" s="104" t="str">
        <f t="shared" si="3"/>
        <v>NA</v>
      </c>
      <c r="L23" s="104" t="str">
        <f t="shared" si="4"/>
        <v>NA</v>
      </c>
      <c r="M23" s="18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08"/>
      <c r="B24" s="189" t="s">
        <v>396</v>
      </c>
      <c r="C24" s="186" t="s">
        <v>397</v>
      </c>
      <c r="D24" s="187" t="s">
        <v>383</v>
      </c>
      <c r="E24" s="101"/>
      <c r="F24" s="102"/>
      <c r="G24" s="103" t="s">
        <v>378</v>
      </c>
      <c r="H24" s="104" t="str">
        <f t="shared" si="1"/>
        <v>NA</v>
      </c>
      <c r="I24" s="104" t="str">
        <f t="shared" si="2"/>
        <v>NA</v>
      </c>
      <c r="J24" s="103" t="s">
        <v>378</v>
      </c>
      <c r="K24" s="104" t="str">
        <f t="shared" si="3"/>
        <v>NA</v>
      </c>
      <c r="L24" s="104" t="str">
        <f t="shared" si="4"/>
        <v>NA</v>
      </c>
      <c r="M24" s="18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08"/>
      <c r="B25" s="189" t="s">
        <v>398</v>
      </c>
      <c r="C25" s="186" t="s">
        <v>399</v>
      </c>
      <c r="D25" s="187" t="s">
        <v>400</v>
      </c>
      <c r="E25" s="101"/>
      <c r="F25" s="102"/>
      <c r="G25" s="103" t="s">
        <v>378</v>
      </c>
      <c r="H25" s="104" t="str">
        <f t="shared" si="1"/>
        <v>NA</v>
      </c>
      <c r="I25" s="104" t="str">
        <f t="shared" si="2"/>
        <v>NA</v>
      </c>
      <c r="J25" s="103" t="s">
        <v>378</v>
      </c>
      <c r="K25" s="104" t="str">
        <f t="shared" si="3"/>
        <v>NA</v>
      </c>
      <c r="L25" s="104" t="str">
        <f t="shared" si="4"/>
        <v>NA</v>
      </c>
      <c r="M25" s="18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08"/>
      <c r="B26" s="189" t="s">
        <v>401</v>
      </c>
      <c r="C26" s="186" t="s">
        <v>402</v>
      </c>
      <c r="D26" s="187" t="s">
        <v>400</v>
      </c>
      <c r="E26" s="101"/>
      <c r="F26" s="102"/>
      <c r="G26" s="103" t="s">
        <v>378</v>
      </c>
      <c r="H26" s="104" t="str">
        <f t="shared" si="1"/>
        <v>NA</v>
      </c>
      <c r="I26" s="104" t="str">
        <f t="shared" si="2"/>
        <v>NA</v>
      </c>
      <c r="J26" s="103" t="s">
        <v>378</v>
      </c>
      <c r="K26" s="104" t="str">
        <f t="shared" si="3"/>
        <v>NA</v>
      </c>
      <c r="L26" s="104" t="str">
        <f t="shared" si="4"/>
        <v>NA</v>
      </c>
      <c r="M26" s="18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08"/>
      <c r="B27" s="189" t="s">
        <v>403</v>
      </c>
      <c r="C27" s="186" t="s">
        <v>404</v>
      </c>
      <c r="D27" s="187" t="s">
        <v>383</v>
      </c>
      <c r="E27" s="101"/>
      <c r="F27" s="102"/>
      <c r="G27" s="103" t="s">
        <v>378</v>
      </c>
      <c r="H27" s="104" t="str">
        <f t="shared" si="1"/>
        <v>NA</v>
      </c>
      <c r="I27" s="104" t="str">
        <f t="shared" si="2"/>
        <v>NA</v>
      </c>
      <c r="J27" s="103" t="s">
        <v>378</v>
      </c>
      <c r="K27" s="104" t="str">
        <f t="shared" si="3"/>
        <v>NA</v>
      </c>
      <c r="L27" s="104" t="str">
        <f t="shared" si="4"/>
        <v>NA</v>
      </c>
      <c r="M27" s="18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08"/>
      <c r="B28" s="189" t="s">
        <v>405</v>
      </c>
      <c r="C28" s="186" t="s">
        <v>406</v>
      </c>
      <c r="D28" s="187" t="s">
        <v>383</v>
      </c>
      <c r="E28" s="101"/>
      <c r="F28" s="102"/>
      <c r="G28" s="103" t="s">
        <v>378</v>
      </c>
      <c r="H28" s="104" t="str">
        <f t="shared" si="1"/>
        <v>NA</v>
      </c>
      <c r="I28" s="104" t="str">
        <f t="shared" si="2"/>
        <v>NA</v>
      </c>
      <c r="J28" s="103" t="s">
        <v>378</v>
      </c>
      <c r="K28" s="104" t="str">
        <f t="shared" si="3"/>
        <v>NA</v>
      </c>
      <c r="L28" s="104" t="str">
        <f t="shared" si="4"/>
        <v>NA</v>
      </c>
      <c r="M28" s="18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16"/>
      <c r="B29" s="191" t="s">
        <v>407</v>
      </c>
      <c r="C29" s="192" t="s">
        <v>408</v>
      </c>
      <c r="D29" s="193" t="s">
        <v>383</v>
      </c>
      <c r="E29" s="120"/>
      <c r="F29" s="121"/>
      <c r="G29" s="103" t="s">
        <v>378</v>
      </c>
      <c r="H29" s="104" t="str">
        <f t="shared" si="1"/>
        <v>NA</v>
      </c>
      <c r="I29" s="104" t="str">
        <f t="shared" si="2"/>
        <v>NA</v>
      </c>
      <c r="J29" s="103">
        <v>0.75</v>
      </c>
      <c r="K29" s="104">
        <f t="shared" si="3"/>
        <v>15</v>
      </c>
      <c r="L29" s="104">
        <f t="shared" si="4"/>
        <v>20</v>
      </c>
      <c r="M29" s="19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6"/>
      <c r="B30" s="56"/>
      <c r="C30" s="56"/>
      <c r="D30" s="127" t="s">
        <v>181</v>
      </c>
      <c r="E30" s="1"/>
      <c r="F30" s="1"/>
      <c r="G30" s="195">
        <f>SUM(G15:G29)</f>
        <v>2.5</v>
      </c>
      <c r="H30" s="195">
        <f t="shared" ref="H30:I30" si="5">SUMif(H15:H29,"&lt;&gt;N/A")</f>
        <v>50</v>
      </c>
      <c r="I30" s="195">
        <f t="shared" si="5"/>
        <v>80</v>
      </c>
      <c r="J30" s="196">
        <f>SUM(J15:J29)</f>
        <v>2</v>
      </c>
      <c r="K30" s="197">
        <f t="shared" ref="K30:L30" si="6">SUMif(K15:K29,"&lt;&gt;N/A")</f>
        <v>40</v>
      </c>
      <c r="L30" s="197">
        <f t="shared" si="6"/>
        <v>60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8">
      <c r="A38" s="56"/>
      <c r="B38" s="56"/>
      <c r="C38" s="56"/>
      <c r="D38" s="1"/>
      <c r="E38" s="1"/>
      <c r="F38" s="1"/>
      <c r="G38" s="4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6"/>
      <c r="B39" s="56"/>
      <c r="C39" s="56"/>
      <c r="D39" s="1"/>
      <c r="E39" s="1"/>
      <c r="F39" s="1"/>
      <c r="G39" s="4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6"/>
      <c r="B40" s="56"/>
      <c r="C40" s="56"/>
      <c r="D40" s="1"/>
      <c r="E40" s="1"/>
      <c r="F40" s="1"/>
      <c r="G40" s="4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6"/>
      <c r="B41" s="56"/>
      <c r="C41" s="56"/>
      <c r="D41" s="1"/>
      <c r="E41" s="1"/>
      <c r="F41" s="1"/>
      <c r="G41" s="4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6"/>
      <c r="B42" s="56"/>
      <c r="C42" s="56"/>
      <c r="D42" s="1"/>
      <c r="E42" s="1"/>
      <c r="F42" s="1"/>
      <c r="G42" s="4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6"/>
      <c r="B43" s="56"/>
      <c r="C43" s="56"/>
      <c r="D43" s="1"/>
      <c r="E43" s="1"/>
      <c r="F43" s="1"/>
      <c r="G43" s="4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6"/>
      <c r="B44" s="56"/>
      <c r="C44" s="56"/>
      <c r="E44" s="1"/>
      <c r="F44" s="1"/>
      <c r="G44" s="4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6"/>
      <c r="B45" s="56"/>
      <c r="C45" s="56"/>
      <c r="D45" s="1"/>
      <c r="E45" s="1"/>
      <c r="F45" s="1"/>
      <c r="G45" s="4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6"/>
      <c r="B46" s="56"/>
      <c r="C46" s="56"/>
      <c r="D46" s="1"/>
      <c r="E46" s="1"/>
      <c r="F46" s="1"/>
      <c r="G46" s="4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6"/>
      <c r="B47" s="56"/>
      <c r="C47" s="56"/>
      <c r="D47" s="1"/>
      <c r="E47" s="1"/>
      <c r="F47" s="1"/>
      <c r="G47" s="4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6"/>
      <c r="B48" s="56"/>
      <c r="C48" s="56"/>
      <c r="D48" s="1"/>
      <c r="E48" s="1"/>
      <c r="F48" s="1"/>
      <c r="G48" s="4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6"/>
      <c r="B49" s="56"/>
      <c r="C49" s="56"/>
      <c r="D49" s="1"/>
      <c r="E49" s="1"/>
      <c r="F49" s="1"/>
      <c r="G49" s="4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6"/>
      <c r="B50" s="56"/>
      <c r="C50" s="56"/>
      <c r="D50" s="1"/>
      <c r="E50" s="1"/>
      <c r="F50" s="1"/>
      <c r="G50" s="4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6"/>
      <c r="B51" s="56"/>
      <c r="C51" s="56"/>
      <c r="D51" s="1"/>
      <c r="E51" s="1"/>
      <c r="F51" s="1"/>
      <c r="G51" s="4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6"/>
      <c r="B52" s="56"/>
      <c r="C52" s="56"/>
      <c r="D52" s="1"/>
      <c r="E52" s="1"/>
      <c r="F52" s="1"/>
      <c r="G52" s="4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6"/>
      <c r="B53" s="56"/>
      <c r="C53" s="56"/>
      <c r="D53" s="1"/>
      <c r="E53" s="1"/>
      <c r="F53" s="1"/>
      <c r="G53" s="4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6"/>
      <c r="B54" s="56"/>
      <c r="C54" s="56"/>
      <c r="D54" s="1"/>
      <c r="E54" s="1"/>
      <c r="F54" s="1"/>
      <c r="G54" s="4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6"/>
      <c r="B55" s="56"/>
      <c r="C55" s="56"/>
      <c r="D55" s="1"/>
      <c r="E55" s="1"/>
      <c r="F55" s="1"/>
      <c r="G55" s="4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6"/>
      <c r="B56" s="56"/>
      <c r="C56" s="56"/>
      <c r="D56" s="1"/>
      <c r="E56" s="1"/>
      <c r="F56" s="1"/>
      <c r="G56" s="4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6"/>
      <c r="B57" s="56"/>
      <c r="C57" s="56"/>
      <c r="D57" s="1"/>
      <c r="E57" s="1"/>
      <c r="F57" s="1"/>
      <c r="G57" s="4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6"/>
      <c r="B58" s="56"/>
      <c r="C58" s="56"/>
      <c r="D58" s="1"/>
      <c r="E58" s="1"/>
      <c r="F58" s="1"/>
      <c r="G58" s="4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6"/>
      <c r="B59" s="56"/>
      <c r="C59" s="56"/>
      <c r="D59" s="1"/>
      <c r="E59" s="1"/>
      <c r="F59" s="1"/>
      <c r="G59" s="4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6"/>
      <c r="B60" s="56"/>
      <c r="C60" s="56"/>
      <c r="D60" s="1"/>
      <c r="E60" s="1"/>
      <c r="F60" s="1"/>
      <c r="G60" s="4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6"/>
      <c r="B61" s="56"/>
      <c r="C61" s="56"/>
      <c r="D61" s="1"/>
      <c r="E61" s="1"/>
      <c r="F61" s="1"/>
      <c r="G61" s="4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6"/>
      <c r="B62" s="56"/>
      <c r="C62" s="56"/>
      <c r="D62" s="1"/>
      <c r="E62" s="1"/>
      <c r="F62" s="1"/>
      <c r="G62" s="4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6"/>
      <c r="B63" s="56"/>
      <c r="C63" s="56"/>
      <c r="D63" s="1"/>
      <c r="E63" s="1"/>
      <c r="F63" s="1"/>
      <c r="G63" s="4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6"/>
      <c r="B64" s="56"/>
      <c r="C64" s="56"/>
      <c r="D64" s="1"/>
      <c r="E64" s="1"/>
      <c r="F64" s="1"/>
      <c r="G64" s="4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6"/>
      <c r="B65" s="56"/>
      <c r="C65" s="56"/>
      <c r="D65" s="1"/>
      <c r="E65" s="1"/>
      <c r="F65" s="1"/>
      <c r="G65" s="4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6"/>
      <c r="B66" s="56"/>
      <c r="C66" s="56"/>
      <c r="D66" s="1"/>
      <c r="E66" s="1"/>
      <c r="F66" s="1"/>
      <c r="G66" s="4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6"/>
      <c r="B67" s="56"/>
      <c r="C67" s="56"/>
      <c r="D67" s="1"/>
      <c r="E67" s="1"/>
      <c r="F67" s="1"/>
      <c r="G67" s="4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6"/>
      <c r="B68" s="56"/>
      <c r="C68" s="56"/>
      <c r="D68" s="1"/>
      <c r="E68" s="1"/>
      <c r="F68" s="1"/>
      <c r="G68" s="4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6"/>
      <c r="B69" s="56"/>
      <c r="C69" s="56"/>
      <c r="D69" s="1"/>
      <c r="E69" s="1"/>
      <c r="F69" s="1"/>
      <c r="G69" s="4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6"/>
      <c r="B70" s="56"/>
      <c r="C70" s="56"/>
      <c r="D70" s="1"/>
      <c r="E70" s="1"/>
      <c r="F70" s="1"/>
      <c r="G70" s="4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6"/>
      <c r="B71" s="56"/>
      <c r="C71" s="56"/>
      <c r="D71" s="1"/>
      <c r="E71" s="1"/>
      <c r="F71" s="1"/>
      <c r="G71" s="4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6"/>
      <c r="B72" s="56"/>
      <c r="C72" s="56"/>
      <c r="D72" s="1"/>
      <c r="E72" s="1"/>
      <c r="F72" s="1"/>
      <c r="G72" s="4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6"/>
      <c r="B73" s="56"/>
      <c r="C73" s="56"/>
      <c r="D73" s="1"/>
      <c r="E73" s="1"/>
      <c r="F73" s="1"/>
      <c r="G73" s="4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56"/>
      <c r="B74" s="56"/>
      <c r="C74" s="56"/>
      <c r="D74" s="1"/>
      <c r="E74" s="1"/>
      <c r="F74" s="1"/>
      <c r="G74" s="4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56"/>
      <c r="B75" s="56"/>
      <c r="C75" s="56"/>
      <c r="D75" s="1"/>
      <c r="E75" s="1"/>
      <c r="F75" s="1"/>
      <c r="G75" s="4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56"/>
      <c r="B76" s="56"/>
      <c r="C76" s="56"/>
      <c r="D76" s="1"/>
      <c r="E76" s="1"/>
      <c r="F76" s="1"/>
      <c r="G76" s="4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56"/>
      <c r="B77" s="56"/>
      <c r="C77" s="56"/>
      <c r="D77" s="1"/>
      <c r="E77" s="1"/>
      <c r="F77" s="1"/>
      <c r="G77" s="4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56"/>
      <c r="B78" s="56"/>
      <c r="C78" s="56"/>
      <c r="D78" s="1"/>
      <c r="E78" s="1"/>
      <c r="F78" s="1"/>
      <c r="G78" s="4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56"/>
      <c r="B79" s="56"/>
      <c r="C79" s="56"/>
      <c r="D79" s="1"/>
      <c r="E79" s="1"/>
      <c r="F79" s="1"/>
      <c r="G79" s="4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56"/>
      <c r="B80" s="56"/>
      <c r="C80" s="56"/>
      <c r="D80" s="1"/>
      <c r="E80" s="1"/>
      <c r="F80" s="1"/>
      <c r="G80" s="4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56"/>
      <c r="B81" s="56"/>
      <c r="C81" s="56"/>
      <c r="D81" s="1"/>
      <c r="E81" s="1"/>
      <c r="F81" s="1"/>
      <c r="G81" s="4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56"/>
      <c r="B82" s="56"/>
      <c r="C82" s="56"/>
      <c r="D82" s="1"/>
      <c r="E82" s="1"/>
      <c r="F82" s="1"/>
      <c r="G82" s="4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56"/>
      <c r="B83" s="56"/>
      <c r="C83" s="56"/>
      <c r="D83" s="1"/>
      <c r="E83" s="1"/>
      <c r="F83" s="1"/>
      <c r="G83" s="4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56"/>
      <c r="B84" s="56"/>
      <c r="C84" s="56"/>
      <c r="D84" s="1"/>
      <c r="E84" s="1"/>
      <c r="F84" s="1"/>
      <c r="G84" s="4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56"/>
      <c r="B85" s="56"/>
      <c r="C85" s="56"/>
      <c r="D85" s="1"/>
      <c r="E85" s="1"/>
      <c r="F85" s="1"/>
      <c r="G85" s="4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56"/>
      <c r="B86" s="56"/>
      <c r="C86" s="56"/>
      <c r="D86" s="1"/>
      <c r="E86" s="1"/>
      <c r="F86" s="1"/>
      <c r="G86" s="4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56"/>
      <c r="B87" s="56"/>
      <c r="C87" s="56"/>
      <c r="D87" s="1"/>
      <c r="E87" s="1"/>
      <c r="F87" s="1"/>
      <c r="G87" s="4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56"/>
      <c r="B88" s="56"/>
      <c r="C88" s="56"/>
      <c r="D88" s="1"/>
      <c r="E88" s="1"/>
      <c r="F88" s="1"/>
      <c r="G88" s="4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56"/>
      <c r="B89" s="56"/>
      <c r="C89" s="56"/>
      <c r="D89" s="1"/>
      <c r="E89" s="1"/>
      <c r="F89" s="1"/>
      <c r="G89" s="4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56"/>
      <c r="B90" s="56"/>
      <c r="C90" s="56"/>
      <c r="D90" s="1"/>
      <c r="E90" s="1"/>
      <c r="F90" s="1"/>
      <c r="G90" s="4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56"/>
      <c r="B91" s="56"/>
      <c r="C91" s="56"/>
      <c r="D91" s="1"/>
      <c r="E91" s="1"/>
      <c r="F91" s="1"/>
      <c r="G91" s="4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56"/>
      <c r="B92" s="56"/>
      <c r="C92" s="56"/>
      <c r="D92" s="1"/>
      <c r="E92" s="1"/>
      <c r="F92" s="1"/>
      <c r="G92" s="4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56"/>
      <c r="B93" s="56"/>
      <c r="C93" s="56"/>
      <c r="D93" s="1"/>
      <c r="E93" s="1"/>
      <c r="F93" s="1"/>
      <c r="G93" s="4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56"/>
      <c r="B94" s="56"/>
      <c r="C94" s="56"/>
      <c r="D94" s="1"/>
      <c r="E94" s="1"/>
      <c r="F94" s="1"/>
      <c r="G94" s="4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56"/>
      <c r="B95" s="56"/>
      <c r="C95" s="56"/>
      <c r="D95" s="1"/>
      <c r="E95" s="1"/>
      <c r="F95" s="1"/>
      <c r="G95" s="4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56"/>
      <c r="B96" s="56"/>
      <c r="C96" s="56"/>
      <c r="D96" s="1"/>
      <c r="E96" s="1"/>
      <c r="F96" s="1"/>
      <c r="G96" s="4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56"/>
      <c r="B97" s="56"/>
      <c r="C97" s="56"/>
      <c r="D97" s="1"/>
      <c r="E97" s="1"/>
      <c r="F97" s="1"/>
      <c r="G97" s="4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56"/>
      <c r="B98" s="56"/>
      <c r="C98" s="56"/>
      <c r="D98" s="1"/>
      <c r="E98" s="1"/>
      <c r="F98" s="1"/>
      <c r="G98" s="4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56"/>
      <c r="B99" s="56"/>
      <c r="C99" s="56"/>
      <c r="D99" s="1"/>
      <c r="E99" s="1"/>
      <c r="F99" s="1"/>
      <c r="G99" s="4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56"/>
      <c r="B100" s="56"/>
      <c r="C100" s="56"/>
      <c r="D100" s="1"/>
      <c r="E100" s="1"/>
      <c r="F100" s="1"/>
      <c r="G100" s="4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56"/>
      <c r="B101" s="56"/>
      <c r="C101" s="56"/>
      <c r="D101" s="1"/>
      <c r="E101" s="1"/>
      <c r="F101" s="1"/>
      <c r="G101" s="4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56"/>
      <c r="B102" s="56"/>
      <c r="C102" s="56"/>
      <c r="D102" s="1"/>
      <c r="E102" s="1"/>
      <c r="F102" s="1"/>
      <c r="G102" s="4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56"/>
      <c r="B103" s="56"/>
      <c r="C103" s="56"/>
      <c r="D103" s="1"/>
      <c r="E103" s="1"/>
      <c r="F103" s="1"/>
      <c r="G103" s="4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56"/>
      <c r="B104" s="56"/>
      <c r="C104" s="56"/>
      <c r="D104" s="1"/>
      <c r="E104" s="1"/>
      <c r="F104" s="1"/>
      <c r="G104" s="4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56"/>
      <c r="B105" s="56"/>
      <c r="C105" s="56"/>
      <c r="D105" s="1"/>
      <c r="E105" s="1"/>
      <c r="F105" s="1"/>
      <c r="G105" s="4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56"/>
      <c r="B106" s="56"/>
      <c r="C106" s="56"/>
      <c r="D106" s="1"/>
      <c r="E106" s="1"/>
      <c r="F106" s="1"/>
      <c r="G106" s="4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56"/>
      <c r="B107" s="56"/>
      <c r="C107" s="56"/>
      <c r="D107" s="1"/>
      <c r="E107" s="1"/>
      <c r="F107" s="1"/>
      <c r="G107" s="4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56"/>
      <c r="B108" s="56"/>
      <c r="C108" s="56"/>
      <c r="D108" s="1"/>
      <c r="E108" s="1"/>
      <c r="F108" s="1"/>
      <c r="G108" s="4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56"/>
      <c r="B109" s="56"/>
      <c r="C109" s="56"/>
      <c r="D109" s="1"/>
      <c r="E109" s="1"/>
      <c r="F109" s="1"/>
      <c r="G109" s="4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56"/>
      <c r="B110" s="56"/>
      <c r="C110" s="56"/>
      <c r="D110" s="1"/>
      <c r="E110" s="1"/>
      <c r="F110" s="1"/>
      <c r="G110" s="4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56"/>
      <c r="B111" s="56"/>
      <c r="C111" s="56"/>
      <c r="D111" s="1"/>
      <c r="E111" s="1"/>
      <c r="F111" s="1"/>
      <c r="G111" s="4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56"/>
      <c r="B112" s="56"/>
      <c r="C112" s="56"/>
      <c r="D112" s="1"/>
      <c r="E112" s="1"/>
      <c r="F112" s="1"/>
      <c r="G112" s="4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56"/>
      <c r="B113" s="56"/>
      <c r="C113" s="56"/>
      <c r="D113" s="1"/>
      <c r="E113" s="1"/>
      <c r="F113" s="1"/>
      <c r="G113" s="4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56"/>
      <c r="B114" s="56"/>
      <c r="C114" s="56"/>
      <c r="D114" s="1"/>
      <c r="E114" s="1"/>
      <c r="F114" s="1"/>
      <c r="G114" s="4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56"/>
      <c r="B115" s="56"/>
      <c r="C115" s="56"/>
      <c r="D115" s="1"/>
      <c r="E115" s="1"/>
      <c r="F115" s="1"/>
      <c r="G115" s="4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56"/>
      <c r="B116" s="56"/>
      <c r="C116" s="56"/>
      <c r="D116" s="1"/>
      <c r="E116" s="1"/>
      <c r="F116" s="1"/>
      <c r="G116" s="4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56"/>
      <c r="B117" s="56"/>
      <c r="C117" s="56"/>
      <c r="D117" s="1"/>
      <c r="E117" s="1"/>
      <c r="F117" s="1"/>
      <c r="G117" s="4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56"/>
      <c r="B118" s="56"/>
      <c r="C118" s="56"/>
      <c r="D118" s="1"/>
      <c r="E118" s="1"/>
      <c r="F118" s="1"/>
      <c r="G118" s="4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56"/>
      <c r="B119" s="56"/>
      <c r="C119" s="56"/>
      <c r="D119" s="1"/>
      <c r="E119" s="1"/>
      <c r="F119" s="1"/>
      <c r="G119" s="4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56"/>
      <c r="B120" s="56"/>
      <c r="C120" s="56"/>
      <c r="D120" s="1"/>
      <c r="E120" s="1"/>
      <c r="F120" s="1"/>
      <c r="G120" s="4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56"/>
      <c r="B121" s="56"/>
      <c r="C121" s="56"/>
      <c r="D121" s="1"/>
      <c r="E121" s="1"/>
      <c r="F121" s="1"/>
      <c r="G121" s="4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56"/>
      <c r="B122" s="56"/>
      <c r="C122" s="56"/>
      <c r="D122" s="1"/>
      <c r="E122" s="1"/>
      <c r="F122" s="1"/>
      <c r="G122" s="4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56"/>
      <c r="B123" s="56"/>
      <c r="C123" s="56"/>
      <c r="D123" s="1"/>
      <c r="E123" s="1"/>
      <c r="F123" s="1"/>
      <c r="G123" s="4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56"/>
      <c r="B124" s="56"/>
      <c r="C124" s="56"/>
      <c r="D124" s="1"/>
      <c r="E124" s="1"/>
      <c r="F124" s="1"/>
      <c r="G124" s="4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56"/>
      <c r="B125" s="56"/>
      <c r="C125" s="56"/>
      <c r="D125" s="1"/>
      <c r="E125" s="1"/>
      <c r="F125" s="1"/>
      <c r="G125" s="4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56"/>
      <c r="B126" s="56"/>
      <c r="C126" s="56"/>
      <c r="D126" s="1"/>
      <c r="E126" s="1"/>
      <c r="F126" s="1"/>
      <c r="G126" s="4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56"/>
      <c r="B127" s="56"/>
      <c r="C127" s="56"/>
      <c r="D127" s="1"/>
      <c r="E127" s="1"/>
      <c r="F127" s="1"/>
      <c r="G127" s="4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56"/>
      <c r="B128" s="56"/>
      <c r="C128" s="56"/>
      <c r="D128" s="1"/>
      <c r="E128" s="1"/>
      <c r="F128" s="1"/>
      <c r="G128" s="4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56"/>
      <c r="B129" s="56"/>
      <c r="C129" s="56"/>
      <c r="D129" s="1"/>
      <c r="E129" s="1"/>
      <c r="F129" s="1"/>
      <c r="G129" s="4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56"/>
      <c r="B130" s="56"/>
      <c r="C130" s="56"/>
      <c r="D130" s="1"/>
      <c r="E130" s="1"/>
      <c r="F130" s="1"/>
      <c r="G130" s="4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56"/>
      <c r="B131" s="56"/>
      <c r="C131" s="56"/>
      <c r="D131" s="1"/>
      <c r="E131" s="1"/>
      <c r="F131" s="1"/>
      <c r="G131" s="4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56"/>
      <c r="B132" s="56"/>
      <c r="C132" s="56"/>
      <c r="D132" s="1"/>
      <c r="E132" s="1"/>
      <c r="F132" s="1"/>
      <c r="G132" s="4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56"/>
      <c r="B133" s="56"/>
      <c r="C133" s="56"/>
      <c r="D133" s="1"/>
      <c r="E133" s="1"/>
      <c r="F133" s="1"/>
      <c r="G133" s="4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56"/>
      <c r="B134" s="56"/>
      <c r="C134" s="56"/>
      <c r="D134" s="1"/>
      <c r="E134" s="1"/>
      <c r="F134" s="1"/>
      <c r="G134" s="4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56"/>
      <c r="B135" s="56"/>
      <c r="C135" s="56"/>
      <c r="D135" s="1"/>
      <c r="E135" s="1"/>
      <c r="F135" s="1"/>
      <c r="G135" s="4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56"/>
      <c r="B136" s="56"/>
      <c r="C136" s="56"/>
      <c r="D136" s="1"/>
      <c r="E136" s="1"/>
      <c r="F136" s="1"/>
      <c r="G136" s="4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56"/>
      <c r="B137" s="56"/>
      <c r="C137" s="56"/>
      <c r="D137" s="1"/>
      <c r="E137" s="1"/>
      <c r="F137" s="1"/>
      <c r="G137" s="4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56"/>
      <c r="B138" s="56"/>
      <c r="C138" s="56"/>
      <c r="D138" s="1"/>
      <c r="E138" s="1"/>
      <c r="F138" s="1"/>
      <c r="G138" s="4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56"/>
      <c r="B139" s="56"/>
      <c r="C139" s="56"/>
      <c r="D139" s="1"/>
      <c r="E139" s="1"/>
      <c r="F139" s="1"/>
      <c r="G139" s="4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56"/>
      <c r="B140" s="56"/>
      <c r="C140" s="56"/>
      <c r="D140" s="1"/>
      <c r="E140" s="1"/>
      <c r="F140" s="1"/>
      <c r="G140" s="4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56"/>
      <c r="B141" s="56"/>
      <c r="C141" s="56"/>
      <c r="D141" s="1"/>
      <c r="E141" s="1"/>
      <c r="F141" s="1"/>
      <c r="G141" s="4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56"/>
      <c r="B142" s="56"/>
      <c r="C142" s="56"/>
      <c r="D142" s="1"/>
      <c r="E142" s="1"/>
      <c r="F142" s="1"/>
      <c r="G142" s="4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56"/>
      <c r="B143" s="56"/>
      <c r="C143" s="56"/>
      <c r="D143" s="1"/>
      <c r="E143" s="1"/>
      <c r="F143" s="1"/>
      <c r="G143" s="4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56"/>
      <c r="B144" s="56"/>
      <c r="C144" s="56"/>
      <c r="D144" s="1"/>
      <c r="E144" s="1"/>
      <c r="F144" s="1"/>
      <c r="G144" s="4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56"/>
      <c r="B145" s="56"/>
      <c r="C145" s="56"/>
      <c r="D145" s="1"/>
      <c r="E145" s="1"/>
      <c r="F145" s="1"/>
      <c r="G145" s="4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56"/>
      <c r="B146" s="56"/>
      <c r="C146" s="56"/>
      <c r="D146" s="1"/>
      <c r="E146" s="1"/>
      <c r="F146" s="1"/>
      <c r="G146" s="4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56"/>
      <c r="B147" s="56"/>
      <c r="C147" s="56"/>
      <c r="D147" s="1"/>
      <c r="E147" s="1"/>
      <c r="F147" s="1"/>
      <c r="G147" s="4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56"/>
      <c r="B148" s="56"/>
      <c r="C148" s="56"/>
      <c r="D148" s="1"/>
      <c r="E148" s="1"/>
      <c r="F148" s="1"/>
      <c r="G148" s="4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56"/>
      <c r="B149" s="56"/>
      <c r="C149" s="56"/>
      <c r="D149" s="1"/>
      <c r="E149" s="1"/>
      <c r="F149" s="1"/>
      <c r="G149" s="4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56"/>
      <c r="B150" s="56"/>
      <c r="C150" s="56"/>
      <c r="D150" s="1"/>
      <c r="E150" s="1"/>
      <c r="F150" s="1"/>
      <c r="G150" s="4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56"/>
      <c r="B151" s="56"/>
      <c r="C151" s="56"/>
      <c r="D151" s="1"/>
      <c r="E151" s="1"/>
      <c r="F151" s="1"/>
      <c r="G151" s="4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56"/>
      <c r="B152" s="56"/>
      <c r="C152" s="56"/>
      <c r="D152" s="1"/>
      <c r="E152" s="1"/>
      <c r="F152" s="1"/>
      <c r="G152" s="4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56"/>
      <c r="B153" s="56"/>
      <c r="C153" s="56"/>
      <c r="D153" s="1"/>
      <c r="E153" s="1"/>
      <c r="F153" s="1"/>
      <c r="G153" s="4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56"/>
      <c r="B154" s="56"/>
      <c r="C154" s="56"/>
      <c r="D154" s="1"/>
      <c r="E154" s="1"/>
      <c r="F154" s="1"/>
      <c r="G154" s="4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56"/>
      <c r="B155" s="56"/>
      <c r="C155" s="56"/>
      <c r="D155" s="1"/>
      <c r="E155" s="1"/>
      <c r="F155" s="1"/>
      <c r="G155" s="4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56"/>
      <c r="B156" s="56"/>
      <c r="C156" s="56"/>
      <c r="D156" s="1"/>
      <c r="E156" s="1"/>
      <c r="F156" s="1"/>
      <c r="G156" s="4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56"/>
      <c r="B157" s="56"/>
      <c r="C157" s="56"/>
      <c r="D157" s="1"/>
      <c r="E157" s="1"/>
      <c r="F157" s="1"/>
      <c r="G157" s="4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56"/>
      <c r="B158" s="56"/>
      <c r="C158" s="56"/>
      <c r="D158" s="1"/>
      <c r="E158" s="1"/>
      <c r="F158" s="1"/>
      <c r="G158" s="4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56"/>
      <c r="B159" s="56"/>
      <c r="C159" s="56"/>
      <c r="D159" s="1"/>
      <c r="E159" s="1"/>
      <c r="F159" s="1"/>
      <c r="G159" s="4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56"/>
      <c r="B160" s="56"/>
      <c r="C160" s="56"/>
      <c r="D160" s="1"/>
      <c r="E160" s="1"/>
      <c r="F160" s="1"/>
      <c r="G160" s="4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56"/>
      <c r="B161" s="56"/>
      <c r="C161" s="56"/>
      <c r="D161" s="1"/>
      <c r="E161" s="1"/>
      <c r="F161" s="1"/>
      <c r="G161" s="4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56"/>
      <c r="B162" s="56"/>
      <c r="C162" s="56"/>
      <c r="D162" s="1"/>
      <c r="E162" s="1"/>
      <c r="F162" s="1"/>
      <c r="G162" s="4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56"/>
      <c r="B163" s="56"/>
      <c r="C163" s="56"/>
      <c r="D163" s="1"/>
      <c r="E163" s="1"/>
      <c r="F163" s="1"/>
      <c r="G163" s="4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56"/>
      <c r="B164" s="56"/>
      <c r="C164" s="56"/>
      <c r="D164" s="1"/>
      <c r="E164" s="1"/>
      <c r="F164" s="1"/>
      <c r="G164" s="4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56"/>
      <c r="B165" s="56"/>
      <c r="C165" s="56"/>
      <c r="D165" s="1"/>
      <c r="E165" s="1"/>
      <c r="F165" s="1"/>
      <c r="G165" s="4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56"/>
      <c r="B166" s="56"/>
      <c r="C166" s="56"/>
      <c r="D166" s="1"/>
      <c r="E166" s="1"/>
      <c r="F166" s="1"/>
      <c r="G166" s="4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56"/>
      <c r="B167" s="56"/>
      <c r="C167" s="56"/>
      <c r="D167" s="1"/>
      <c r="E167" s="1"/>
      <c r="F167" s="1"/>
      <c r="G167" s="4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56"/>
      <c r="B168" s="56"/>
      <c r="C168" s="56"/>
      <c r="D168" s="1"/>
      <c r="E168" s="1"/>
      <c r="F168" s="1"/>
      <c r="G168" s="4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56"/>
      <c r="B169" s="56"/>
      <c r="C169" s="56"/>
      <c r="D169" s="1"/>
      <c r="E169" s="1"/>
      <c r="F169" s="1"/>
      <c r="G169" s="4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56"/>
      <c r="B170" s="56"/>
      <c r="C170" s="56"/>
      <c r="D170" s="1"/>
      <c r="E170" s="1"/>
      <c r="F170" s="1"/>
      <c r="G170" s="4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56"/>
      <c r="B171" s="56"/>
      <c r="C171" s="56"/>
      <c r="D171" s="1"/>
      <c r="E171" s="1"/>
      <c r="F171" s="1"/>
      <c r="G171" s="4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56"/>
      <c r="B172" s="56"/>
      <c r="C172" s="56"/>
      <c r="D172" s="1"/>
      <c r="E172" s="1"/>
      <c r="F172" s="1"/>
      <c r="G172" s="4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56"/>
      <c r="B173" s="56"/>
      <c r="C173" s="56"/>
      <c r="D173" s="1"/>
      <c r="E173" s="1"/>
      <c r="F173" s="1"/>
      <c r="G173" s="4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56"/>
      <c r="B174" s="56"/>
      <c r="C174" s="56"/>
      <c r="D174" s="1"/>
      <c r="E174" s="1"/>
      <c r="F174" s="1"/>
      <c r="G174" s="4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56"/>
      <c r="B175" s="56"/>
      <c r="C175" s="56"/>
      <c r="D175" s="1"/>
      <c r="E175" s="1"/>
      <c r="F175" s="1"/>
      <c r="G175" s="4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56"/>
      <c r="B176" s="56"/>
      <c r="C176" s="56"/>
      <c r="D176" s="1"/>
      <c r="E176" s="1"/>
      <c r="F176" s="1"/>
      <c r="G176" s="4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56"/>
      <c r="B177" s="56"/>
      <c r="C177" s="56"/>
      <c r="D177" s="1"/>
      <c r="E177" s="1"/>
      <c r="F177" s="1"/>
      <c r="G177" s="4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56"/>
      <c r="B178" s="56"/>
      <c r="C178" s="56"/>
      <c r="D178" s="1"/>
      <c r="E178" s="1"/>
      <c r="F178" s="1"/>
      <c r="G178" s="4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56"/>
      <c r="B179" s="56"/>
      <c r="C179" s="56"/>
      <c r="D179" s="1"/>
      <c r="E179" s="1"/>
      <c r="F179" s="1"/>
      <c r="G179" s="4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56"/>
      <c r="B180" s="56"/>
      <c r="C180" s="56"/>
      <c r="D180" s="1"/>
      <c r="E180" s="1"/>
      <c r="F180" s="1"/>
      <c r="G180" s="4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56"/>
      <c r="B181" s="56"/>
      <c r="C181" s="56"/>
      <c r="D181" s="1"/>
      <c r="E181" s="1"/>
      <c r="F181" s="1"/>
      <c r="G181" s="4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56"/>
      <c r="B182" s="56"/>
      <c r="C182" s="56"/>
      <c r="D182" s="1"/>
      <c r="E182" s="1"/>
      <c r="F182" s="1"/>
      <c r="G182" s="4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56"/>
      <c r="B183" s="56"/>
      <c r="C183" s="56"/>
      <c r="D183" s="1"/>
      <c r="E183" s="1"/>
      <c r="F183" s="1"/>
      <c r="G183" s="4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56"/>
      <c r="B184" s="56"/>
      <c r="C184" s="56"/>
      <c r="D184" s="1"/>
      <c r="E184" s="1"/>
      <c r="F184" s="1"/>
      <c r="G184" s="4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56"/>
      <c r="B185" s="56"/>
      <c r="C185" s="56"/>
      <c r="D185" s="1"/>
      <c r="E185" s="1"/>
      <c r="F185" s="1"/>
      <c r="G185" s="4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56"/>
      <c r="B186" s="56"/>
      <c r="C186" s="56"/>
      <c r="D186" s="1"/>
      <c r="E186" s="1"/>
      <c r="F186" s="1"/>
      <c r="G186" s="4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56"/>
      <c r="B187" s="56"/>
      <c r="C187" s="56"/>
      <c r="D187" s="1"/>
      <c r="E187" s="1"/>
      <c r="F187" s="1"/>
      <c r="G187" s="4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56"/>
      <c r="B188" s="56"/>
      <c r="C188" s="56"/>
      <c r="D188" s="1"/>
      <c r="E188" s="1"/>
      <c r="F188" s="1"/>
      <c r="G188" s="4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56"/>
      <c r="B189" s="56"/>
      <c r="C189" s="56"/>
      <c r="D189" s="1"/>
      <c r="E189" s="1"/>
      <c r="F189" s="1"/>
      <c r="G189" s="4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56"/>
      <c r="B190" s="56"/>
      <c r="C190" s="56"/>
      <c r="D190" s="1"/>
      <c r="E190" s="1"/>
      <c r="F190" s="1"/>
      <c r="G190" s="4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56"/>
      <c r="B191" s="56"/>
      <c r="C191" s="56"/>
      <c r="D191" s="1"/>
      <c r="E191" s="1"/>
      <c r="F191" s="1"/>
      <c r="G191" s="4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56"/>
      <c r="B192" s="56"/>
      <c r="C192" s="56"/>
      <c r="D192" s="1"/>
      <c r="E192" s="1"/>
      <c r="F192" s="1"/>
      <c r="G192" s="4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56"/>
      <c r="B193" s="56"/>
      <c r="C193" s="56"/>
      <c r="D193" s="1"/>
      <c r="E193" s="1"/>
      <c r="F193" s="1"/>
      <c r="G193" s="4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56"/>
      <c r="B194" s="56"/>
      <c r="C194" s="56"/>
      <c r="D194" s="1"/>
      <c r="E194" s="1"/>
      <c r="F194" s="1"/>
      <c r="G194" s="4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56"/>
      <c r="B195" s="56"/>
      <c r="C195" s="56"/>
      <c r="D195" s="1"/>
      <c r="E195" s="1"/>
      <c r="F195" s="1"/>
      <c r="G195" s="4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56"/>
      <c r="B196" s="56"/>
      <c r="C196" s="56"/>
      <c r="D196" s="1"/>
      <c r="E196" s="1"/>
      <c r="F196" s="1"/>
      <c r="G196" s="4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56"/>
      <c r="B197" s="56"/>
      <c r="C197" s="56"/>
      <c r="D197" s="1"/>
      <c r="E197" s="1"/>
      <c r="F197" s="1"/>
      <c r="G197" s="4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56"/>
      <c r="B198" s="56"/>
      <c r="C198" s="56"/>
      <c r="D198" s="1"/>
      <c r="E198" s="1"/>
      <c r="F198" s="1"/>
      <c r="G198" s="4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56"/>
      <c r="B199" s="56"/>
      <c r="C199" s="56"/>
      <c r="D199" s="1"/>
      <c r="E199" s="1"/>
      <c r="F199" s="1"/>
      <c r="G199" s="4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56"/>
      <c r="B200" s="56"/>
      <c r="C200" s="56"/>
      <c r="D200" s="1"/>
      <c r="E200" s="1"/>
      <c r="F200" s="1"/>
      <c r="G200" s="4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56"/>
      <c r="B201" s="56"/>
      <c r="C201" s="56"/>
      <c r="D201" s="1"/>
      <c r="E201" s="1"/>
      <c r="F201" s="1"/>
      <c r="G201" s="4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56"/>
      <c r="B202" s="56"/>
      <c r="C202" s="56"/>
      <c r="D202" s="1"/>
      <c r="E202" s="1"/>
      <c r="F202" s="1"/>
      <c r="G202" s="4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56"/>
      <c r="B203" s="56"/>
      <c r="C203" s="56"/>
      <c r="D203" s="1"/>
      <c r="E203" s="1"/>
      <c r="F203" s="1"/>
      <c r="G203" s="4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56"/>
      <c r="B204" s="56"/>
      <c r="C204" s="56"/>
      <c r="D204" s="1"/>
      <c r="E204" s="1"/>
      <c r="F204" s="1"/>
      <c r="G204" s="4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56"/>
      <c r="B205" s="56"/>
      <c r="C205" s="56"/>
      <c r="D205" s="1"/>
      <c r="E205" s="1"/>
      <c r="F205" s="1"/>
      <c r="G205" s="4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56"/>
      <c r="B206" s="56"/>
      <c r="C206" s="56"/>
      <c r="D206" s="1"/>
      <c r="E206" s="1"/>
      <c r="F206" s="1"/>
      <c r="G206" s="4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56"/>
      <c r="B207" s="56"/>
      <c r="C207" s="56"/>
      <c r="D207" s="1"/>
      <c r="E207" s="1"/>
      <c r="F207" s="1"/>
      <c r="G207" s="4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56"/>
      <c r="B208" s="56"/>
      <c r="C208" s="56"/>
      <c r="D208" s="1"/>
      <c r="E208" s="1"/>
      <c r="F208" s="1"/>
      <c r="G208" s="4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56"/>
      <c r="B209" s="56"/>
      <c r="C209" s="56"/>
      <c r="D209" s="1"/>
      <c r="E209" s="1"/>
      <c r="F209" s="1"/>
      <c r="G209" s="4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56"/>
      <c r="B210" s="56"/>
      <c r="C210" s="56"/>
      <c r="D210" s="1"/>
      <c r="E210" s="1"/>
      <c r="F210" s="1"/>
      <c r="G210" s="4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56"/>
      <c r="B211" s="56"/>
      <c r="C211" s="56"/>
      <c r="D211" s="1"/>
      <c r="E211" s="1"/>
      <c r="F211" s="1"/>
      <c r="G211" s="4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56"/>
      <c r="B212" s="56"/>
      <c r="C212" s="56"/>
      <c r="D212" s="1"/>
      <c r="E212" s="1"/>
      <c r="F212" s="1"/>
      <c r="G212" s="4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56"/>
      <c r="B213" s="56"/>
      <c r="C213" s="56"/>
      <c r="D213" s="1"/>
      <c r="E213" s="1"/>
      <c r="F213" s="1"/>
      <c r="G213" s="4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56"/>
      <c r="B214" s="56"/>
      <c r="C214" s="56"/>
      <c r="D214" s="1"/>
      <c r="E214" s="1"/>
      <c r="F214" s="1"/>
      <c r="G214" s="4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56"/>
      <c r="B215" s="56"/>
      <c r="C215" s="56"/>
      <c r="D215" s="1"/>
      <c r="E215" s="1"/>
      <c r="F215" s="1"/>
      <c r="G215" s="4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56"/>
      <c r="B216" s="56"/>
      <c r="C216" s="56"/>
      <c r="D216" s="1"/>
      <c r="E216" s="1"/>
      <c r="F216" s="1"/>
      <c r="G216" s="4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56"/>
      <c r="B217" s="56"/>
      <c r="C217" s="56"/>
      <c r="D217" s="1"/>
      <c r="E217" s="1"/>
      <c r="F217" s="1"/>
      <c r="G217" s="4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56"/>
      <c r="B218" s="56"/>
      <c r="C218" s="56"/>
      <c r="D218" s="1"/>
      <c r="E218" s="1"/>
      <c r="F218" s="1"/>
      <c r="G218" s="4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56"/>
      <c r="B219" s="56"/>
      <c r="C219" s="56"/>
      <c r="D219" s="1"/>
      <c r="E219" s="1"/>
      <c r="F219" s="1"/>
      <c r="G219" s="4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56"/>
      <c r="B220" s="56"/>
      <c r="C220" s="56"/>
      <c r="D220" s="1"/>
      <c r="E220" s="1"/>
      <c r="F220" s="1"/>
      <c r="G220" s="4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56"/>
      <c r="B221" s="56"/>
      <c r="C221" s="56"/>
      <c r="D221" s="1"/>
      <c r="E221" s="1"/>
      <c r="F221" s="1"/>
      <c r="G221" s="4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56"/>
      <c r="B222" s="56"/>
      <c r="C222" s="56"/>
      <c r="D222" s="1"/>
      <c r="E222" s="1"/>
      <c r="F222" s="1"/>
      <c r="G222" s="4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56"/>
      <c r="B223" s="56"/>
      <c r="C223" s="56"/>
      <c r="D223" s="1"/>
      <c r="E223" s="1"/>
      <c r="F223" s="1"/>
      <c r="G223" s="4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56"/>
      <c r="B224" s="56"/>
      <c r="C224" s="56"/>
      <c r="D224" s="1"/>
      <c r="E224" s="1"/>
      <c r="F224" s="1"/>
      <c r="G224" s="4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56"/>
      <c r="B225" s="56"/>
      <c r="C225" s="56"/>
      <c r="D225" s="1"/>
      <c r="E225" s="1"/>
      <c r="F225" s="1"/>
      <c r="G225" s="4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56"/>
      <c r="B226" s="56"/>
      <c r="C226" s="56"/>
      <c r="D226" s="1"/>
      <c r="E226" s="1"/>
      <c r="F226" s="1"/>
      <c r="G226" s="4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56"/>
      <c r="B227" s="56"/>
      <c r="C227" s="56"/>
      <c r="D227" s="1"/>
      <c r="E227" s="1"/>
      <c r="F227" s="1"/>
      <c r="G227" s="4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56"/>
      <c r="B228" s="56"/>
      <c r="C228" s="56"/>
      <c r="D228" s="1"/>
      <c r="E228" s="1"/>
      <c r="F228" s="1"/>
      <c r="G228" s="4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56"/>
      <c r="B229" s="56"/>
      <c r="C229" s="56"/>
      <c r="D229" s="1"/>
      <c r="E229" s="1"/>
      <c r="F229" s="1"/>
      <c r="G229" s="4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56"/>
      <c r="B230" s="56"/>
      <c r="C230" s="56"/>
      <c r="D230" s="1"/>
      <c r="E230" s="1"/>
      <c r="F230" s="1"/>
      <c r="G230" s="4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56"/>
      <c r="B231" s="56"/>
      <c r="C231" s="56"/>
      <c r="D231" s="1"/>
      <c r="E231" s="1"/>
      <c r="F231" s="1"/>
      <c r="G231" s="4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56"/>
      <c r="B232" s="56"/>
      <c r="C232" s="56"/>
      <c r="D232" s="1"/>
      <c r="E232" s="1"/>
      <c r="F232" s="1"/>
      <c r="G232" s="4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56"/>
      <c r="B233" s="56"/>
      <c r="C233" s="56"/>
      <c r="D233" s="1"/>
      <c r="E233" s="1"/>
      <c r="F233" s="1"/>
      <c r="G233" s="4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56"/>
      <c r="B234" s="56"/>
      <c r="C234" s="56"/>
      <c r="D234" s="1"/>
      <c r="E234" s="1"/>
      <c r="F234" s="1"/>
      <c r="G234" s="4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56"/>
      <c r="B235" s="56"/>
      <c r="C235" s="56"/>
      <c r="D235" s="1"/>
      <c r="E235" s="1"/>
      <c r="F235" s="1"/>
      <c r="G235" s="4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56"/>
      <c r="B236" s="56"/>
      <c r="C236" s="56"/>
      <c r="D236" s="1"/>
      <c r="E236" s="1"/>
      <c r="F236" s="1"/>
      <c r="G236" s="4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56"/>
      <c r="B237" s="56"/>
      <c r="C237" s="56"/>
      <c r="D237" s="1"/>
      <c r="E237" s="1"/>
      <c r="F237" s="1"/>
      <c r="G237" s="4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56"/>
      <c r="B238" s="56"/>
      <c r="C238" s="56"/>
      <c r="D238" s="1"/>
      <c r="E238" s="1"/>
      <c r="F238" s="1"/>
      <c r="G238" s="4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56"/>
      <c r="B239" s="56"/>
      <c r="C239" s="56"/>
      <c r="D239" s="1"/>
      <c r="E239" s="1"/>
      <c r="F239" s="1"/>
      <c r="G239" s="4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56"/>
      <c r="B240" s="56"/>
      <c r="C240" s="56"/>
      <c r="D240" s="1"/>
      <c r="E240" s="1"/>
      <c r="F240" s="1"/>
      <c r="G240" s="4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56"/>
      <c r="B241" s="56"/>
      <c r="C241" s="56"/>
      <c r="D241" s="1"/>
      <c r="E241" s="1"/>
      <c r="F241" s="1"/>
      <c r="G241" s="4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56"/>
      <c r="B242" s="56"/>
      <c r="C242" s="56"/>
      <c r="D242" s="1"/>
      <c r="E242" s="1"/>
      <c r="F242" s="1"/>
      <c r="G242" s="4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56"/>
      <c r="B243" s="56"/>
      <c r="C243" s="56"/>
      <c r="D243" s="1"/>
      <c r="E243" s="1"/>
      <c r="F243" s="1"/>
      <c r="G243" s="4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56"/>
      <c r="B244" s="56"/>
      <c r="C244" s="56"/>
      <c r="D244" s="1"/>
      <c r="E244" s="1"/>
      <c r="F244" s="1"/>
      <c r="G244" s="4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56"/>
      <c r="B245" s="56"/>
      <c r="C245" s="56"/>
      <c r="D245" s="1"/>
      <c r="E245" s="1"/>
      <c r="F245" s="1"/>
      <c r="G245" s="4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56"/>
      <c r="B246" s="56"/>
      <c r="C246" s="56"/>
      <c r="D246" s="1"/>
      <c r="E246" s="1"/>
      <c r="F246" s="1"/>
      <c r="G246" s="4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56"/>
      <c r="B247" s="56"/>
      <c r="C247" s="56"/>
      <c r="D247" s="1"/>
      <c r="E247" s="1"/>
      <c r="F247" s="1"/>
      <c r="G247" s="4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56"/>
      <c r="B248" s="56"/>
      <c r="C248" s="56"/>
      <c r="D248" s="1"/>
      <c r="E248" s="1"/>
      <c r="F248" s="1"/>
      <c r="G248" s="4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56"/>
      <c r="B249" s="56"/>
      <c r="C249" s="56"/>
      <c r="D249" s="1"/>
      <c r="E249" s="1"/>
      <c r="F249" s="1"/>
      <c r="G249" s="4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56"/>
      <c r="B250" s="56"/>
      <c r="C250" s="56"/>
      <c r="D250" s="1"/>
      <c r="E250" s="1"/>
      <c r="F250" s="1"/>
      <c r="G250" s="4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56"/>
      <c r="B251" s="56"/>
      <c r="C251" s="56"/>
      <c r="D251" s="1"/>
      <c r="E251" s="1"/>
      <c r="F251" s="1"/>
      <c r="G251" s="4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56"/>
      <c r="B252" s="56"/>
      <c r="C252" s="56"/>
      <c r="D252" s="1"/>
      <c r="E252" s="1"/>
      <c r="F252" s="1"/>
      <c r="G252" s="4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56"/>
      <c r="B253" s="56"/>
      <c r="C253" s="56"/>
      <c r="D253" s="1"/>
      <c r="E253" s="1"/>
      <c r="F253" s="1"/>
      <c r="G253" s="4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56"/>
      <c r="B254" s="56"/>
      <c r="C254" s="56"/>
      <c r="D254" s="1"/>
      <c r="E254" s="1"/>
      <c r="F254" s="1"/>
      <c r="G254" s="4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56"/>
      <c r="B255" s="56"/>
      <c r="C255" s="56"/>
      <c r="D255" s="1"/>
      <c r="E255" s="1"/>
      <c r="F255" s="1"/>
      <c r="G255" s="4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56"/>
      <c r="B256" s="56"/>
      <c r="C256" s="56"/>
      <c r="D256" s="1"/>
      <c r="E256" s="1"/>
      <c r="F256" s="1"/>
      <c r="G256" s="4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56"/>
      <c r="B257" s="56"/>
      <c r="C257" s="56"/>
      <c r="D257" s="1"/>
      <c r="E257" s="1"/>
      <c r="F257" s="1"/>
      <c r="G257" s="4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56"/>
      <c r="B258" s="56"/>
      <c r="C258" s="56"/>
      <c r="D258" s="1"/>
      <c r="E258" s="1"/>
      <c r="F258" s="1"/>
      <c r="G258" s="4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56"/>
      <c r="B259" s="56"/>
      <c r="C259" s="56"/>
      <c r="D259" s="1"/>
      <c r="E259" s="1"/>
      <c r="F259" s="1"/>
      <c r="G259" s="4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56"/>
      <c r="B260" s="56"/>
      <c r="C260" s="56"/>
      <c r="D260" s="1"/>
      <c r="E260" s="1"/>
      <c r="F260" s="1"/>
      <c r="G260" s="4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56"/>
      <c r="B261" s="56"/>
      <c r="C261" s="56"/>
      <c r="D261" s="1"/>
      <c r="E261" s="1"/>
      <c r="F261" s="1"/>
      <c r="G261" s="4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56"/>
      <c r="B262" s="56"/>
      <c r="C262" s="56"/>
      <c r="D262" s="1"/>
      <c r="E262" s="1"/>
      <c r="F262" s="1"/>
      <c r="G262" s="4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56"/>
      <c r="B263" s="56"/>
      <c r="C263" s="56"/>
      <c r="D263" s="1"/>
      <c r="E263" s="1"/>
      <c r="F263" s="1"/>
      <c r="G263" s="4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56"/>
      <c r="B264" s="56"/>
      <c r="C264" s="56"/>
      <c r="D264" s="1"/>
      <c r="E264" s="1"/>
      <c r="F264" s="1"/>
      <c r="G264" s="4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56"/>
      <c r="B265" s="56"/>
      <c r="C265" s="56"/>
      <c r="D265" s="1"/>
      <c r="E265" s="1"/>
      <c r="F265" s="1"/>
      <c r="G265" s="4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56"/>
      <c r="B266" s="56"/>
      <c r="C266" s="56"/>
      <c r="D266" s="1"/>
      <c r="E266" s="1"/>
      <c r="F266" s="1"/>
      <c r="G266" s="4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56"/>
      <c r="B267" s="56"/>
      <c r="C267" s="56"/>
      <c r="D267" s="1"/>
      <c r="E267" s="1"/>
      <c r="F267" s="1"/>
      <c r="G267" s="4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56"/>
      <c r="B268" s="56"/>
      <c r="C268" s="56"/>
      <c r="D268" s="1"/>
      <c r="E268" s="1"/>
      <c r="F268" s="1"/>
      <c r="G268" s="4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56"/>
      <c r="B269" s="56"/>
      <c r="C269" s="56"/>
      <c r="D269" s="1"/>
      <c r="E269" s="1"/>
      <c r="F269" s="1"/>
      <c r="G269" s="4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56"/>
      <c r="B270" s="56"/>
      <c r="C270" s="56"/>
      <c r="D270" s="1"/>
      <c r="E270" s="1"/>
      <c r="F270" s="1"/>
      <c r="G270" s="4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56"/>
      <c r="B271" s="56"/>
      <c r="C271" s="56"/>
      <c r="D271" s="1"/>
      <c r="E271" s="1"/>
      <c r="F271" s="1"/>
      <c r="G271" s="4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56"/>
      <c r="B272" s="56"/>
      <c r="C272" s="56"/>
      <c r="D272" s="1"/>
      <c r="E272" s="1"/>
      <c r="F272" s="1"/>
      <c r="G272" s="4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56"/>
      <c r="B273" s="56"/>
      <c r="C273" s="56"/>
      <c r="D273" s="1"/>
      <c r="E273" s="1"/>
      <c r="F273" s="1"/>
      <c r="G273" s="4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56"/>
      <c r="B274" s="56"/>
      <c r="C274" s="56"/>
      <c r="D274" s="1"/>
      <c r="E274" s="1"/>
      <c r="F274" s="1"/>
      <c r="G274" s="4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56"/>
      <c r="B275" s="56"/>
      <c r="C275" s="56"/>
      <c r="D275" s="1"/>
      <c r="E275" s="1"/>
      <c r="F275" s="1"/>
      <c r="G275" s="4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56"/>
      <c r="B276" s="56"/>
      <c r="C276" s="56"/>
      <c r="D276" s="1"/>
      <c r="E276" s="1"/>
      <c r="F276" s="1"/>
      <c r="G276" s="4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56"/>
      <c r="B277" s="56"/>
      <c r="C277" s="56"/>
      <c r="D277" s="1"/>
      <c r="E277" s="1"/>
      <c r="F277" s="1"/>
      <c r="G277" s="4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56"/>
      <c r="B278" s="56"/>
      <c r="C278" s="56"/>
      <c r="D278" s="1"/>
      <c r="E278" s="1"/>
      <c r="F278" s="1"/>
      <c r="G278" s="4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56"/>
      <c r="B279" s="56"/>
      <c r="C279" s="56"/>
      <c r="D279" s="1"/>
      <c r="E279" s="1"/>
      <c r="F279" s="1"/>
      <c r="G279" s="4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56"/>
      <c r="B280" s="56"/>
      <c r="C280" s="56"/>
      <c r="D280" s="1"/>
      <c r="E280" s="1"/>
      <c r="F280" s="1"/>
      <c r="G280" s="4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56"/>
      <c r="B281" s="56"/>
      <c r="C281" s="56"/>
      <c r="D281" s="1"/>
      <c r="E281" s="1"/>
      <c r="F281" s="1"/>
      <c r="G281" s="4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56"/>
      <c r="B282" s="56"/>
      <c r="C282" s="56"/>
      <c r="D282" s="1"/>
      <c r="E282" s="1"/>
      <c r="F282" s="1"/>
      <c r="G282" s="4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56"/>
      <c r="B283" s="56"/>
      <c r="C283" s="56"/>
      <c r="D283" s="1"/>
      <c r="E283" s="1"/>
      <c r="F283" s="1"/>
      <c r="G283" s="4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56"/>
      <c r="B284" s="56"/>
      <c r="C284" s="56"/>
      <c r="D284" s="1"/>
      <c r="E284" s="1"/>
      <c r="F284" s="1"/>
      <c r="G284" s="4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56"/>
      <c r="B285" s="56"/>
      <c r="C285" s="56"/>
      <c r="D285" s="1"/>
      <c r="E285" s="1"/>
      <c r="F285" s="1"/>
      <c r="G285" s="4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56"/>
      <c r="B286" s="56"/>
      <c r="C286" s="56"/>
      <c r="D286" s="1"/>
      <c r="E286" s="1"/>
      <c r="F286" s="1"/>
      <c r="G286" s="4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56"/>
      <c r="B287" s="56"/>
      <c r="C287" s="56"/>
      <c r="D287" s="1"/>
      <c r="E287" s="1"/>
      <c r="F287" s="1"/>
      <c r="G287" s="4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56"/>
      <c r="B288" s="56"/>
      <c r="C288" s="56"/>
      <c r="D288" s="1"/>
      <c r="E288" s="1"/>
      <c r="F288" s="1"/>
      <c r="G288" s="4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56"/>
      <c r="B289" s="56"/>
      <c r="C289" s="56"/>
      <c r="D289" s="1"/>
      <c r="E289" s="1"/>
      <c r="F289" s="1"/>
      <c r="G289" s="4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56"/>
      <c r="B290" s="56"/>
      <c r="C290" s="56"/>
      <c r="D290" s="1"/>
      <c r="E290" s="1"/>
      <c r="F290" s="1"/>
      <c r="G290" s="4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56"/>
      <c r="B291" s="56"/>
      <c r="C291" s="56"/>
      <c r="D291" s="1"/>
      <c r="E291" s="1"/>
      <c r="F291" s="1"/>
      <c r="G291" s="4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56"/>
      <c r="B292" s="56"/>
      <c r="C292" s="56"/>
      <c r="D292" s="1"/>
      <c r="E292" s="1"/>
      <c r="F292" s="1"/>
      <c r="G292" s="4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56"/>
      <c r="B293" s="56"/>
      <c r="C293" s="56"/>
      <c r="D293" s="1"/>
      <c r="E293" s="1"/>
      <c r="F293" s="1"/>
      <c r="G293" s="4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56"/>
      <c r="B294" s="56"/>
      <c r="C294" s="56"/>
      <c r="D294" s="1"/>
      <c r="E294" s="1"/>
      <c r="F294" s="1"/>
      <c r="G294" s="4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56"/>
      <c r="B295" s="56"/>
      <c r="C295" s="56"/>
      <c r="D295" s="1"/>
      <c r="E295" s="1"/>
      <c r="F295" s="1"/>
      <c r="G295" s="4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56"/>
      <c r="B296" s="56"/>
      <c r="C296" s="56"/>
      <c r="D296" s="1"/>
      <c r="E296" s="1"/>
      <c r="F296" s="1"/>
      <c r="G296" s="4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56"/>
      <c r="B297" s="56"/>
      <c r="C297" s="56"/>
      <c r="D297" s="1"/>
      <c r="E297" s="1"/>
      <c r="F297" s="1"/>
      <c r="G297" s="4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56"/>
      <c r="B298" s="56"/>
      <c r="C298" s="56"/>
      <c r="D298" s="1"/>
      <c r="E298" s="1"/>
      <c r="F298" s="1"/>
      <c r="G298" s="4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56"/>
      <c r="B299" s="56"/>
      <c r="C299" s="56"/>
      <c r="D299" s="1"/>
      <c r="E299" s="1"/>
      <c r="F299" s="1"/>
      <c r="G299" s="4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56"/>
      <c r="B300" s="56"/>
      <c r="C300" s="56"/>
      <c r="D300" s="1"/>
      <c r="E300" s="1"/>
      <c r="F300" s="1"/>
      <c r="G300" s="4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56"/>
      <c r="B301" s="56"/>
      <c r="C301" s="56"/>
      <c r="D301" s="1"/>
      <c r="E301" s="1"/>
      <c r="F301" s="1"/>
      <c r="G301" s="4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56"/>
      <c r="B302" s="56"/>
      <c r="C302" s="56"/>
      <c r="D302" s="1"/>
      <c r="E302" s="1"/>
      <c r="F302" s="1"/>
      <c r="G302" s="4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56"/>
      <c r="B303" s="56"/>
      <c r="C303" s="56"/>
      <c r="D303" s="1"/>
      <c r="E303" s="1"/>
      <c r="F303" s="1"/>
      <c r="G303" s="4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56"/>
      <c r="B304" s="56"/>
      <c r="C304" s="56"/>
      <c r="D304" s="1"/>
      <c r="E304" s="1"/>
      <c r="F304" s="1"/>
      <c r="G304" s="4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56"/>
      <c r="B305" s="56"/>
      <c r="C305" s="56"/>
      <c r="D305" s="1"/>
      <c r="E305" s="1"/>
      <c r="F305" s="1"/>
      <c r="G305" s="4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56"/>
      <c r="B306" s="56"/>
      <c r="C306" s="56"/>
      <c r="D306" s="1"/>
      <c r="E306" s="1"/>
      <c r="F306" s="1"/>
      <c r="G306" s="4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56"/>
      <c r="B307" s="56"/>
      <c r="C307" s="56"/>
      <c r="D307" s="1"/>
      <c r="E307" s="1"/>
      <c r="F307" s="1"/>
      <c r="G307" s="4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56"/>
      <c r="B308" s="56"/>
      <c r="C308" s="56"/>
      <c r="D308" s="1"/>
      <c r="E308" s="1"/>
      <c r="F308" s="1"/>
      <c r="G308" s="4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56"/>
      <c r="B309" s="56"/>
      <c r="C309" s="56"/>
      <c r="D309" s="1"/>
      <c r="E309" s="1"/>
      <c r="F309" s="1"/>
      <c r="G309" s="4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56"/>
      <c r="B310" s="56"/>
      <c r="C310" s="56"/>
      <c r="D310" s="1"/>
      <c r="E310" s="1"/>
      <c r="F310" s="1"/>
      <c r="G310" s="4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56"/>
      <c r="B311" s="56"/>
      <c r="C311" s="56"/>
      <c r="D311" s="1"/>
      <c r="E311" s="1"/>
      <c r="F311" s="1"/>
      <c r="G311" s="4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56"/>
      <c r="B312" s="56"/>
      <c r="C312" s="56"/>
      <c r="D312" s="1"/>
      <c r="E312" s="1"/>
      <c r="F312" s="1"/>
      <c r="G312" s="4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56"/>
      <c r="B313" s="56"/>
      <c r="C313" s="56"/>
      <c r="D313" s="1"/>
      <c r="E313" s="1"/>
      <c r="F313" s="1"/>
      <c r="G313" s="4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56"/>
      <c r="B314" s="56"/>
      <c r="C314" s="56"/>
      <c r="D314" s="1"/>
      <c r="E314" s="1"/>
      <c r="F314" s="1"/>
      <c r="G314" s="4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56"/>
      <c r="B315" s="56"/>
      <c r="C315" s="56"/>
      <c r="D315" s="1"/>
      <c r="E315" s="1"/>
      <c r="F315" s="1"/>
      <c r="G315" s="4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56"/>
      <c r="B316" s="56"/>
      <c r="C316" s="56"/>
      <c r="D316" s="1"/>
      <c r="E316" s="1"/>
      <c r="F316" s="1"/>
      <c r="G316" s="4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56"/>
      <c r="B317" s="56"/>
      <c r="C317" s="56"/>
      <c r="D317" s="1"/>
      <c r="E317" s="1"/>
      <c r="F317" s="1"/>
      <c r="G317" s="4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56"/>
      <c r="B318" s="56"/>
      <c r="C318" s="56"/>
      <c r="D318" s="1"/>
      <c r="E318" s="1"/>
      <c r="F318" s="1"/>
      <c r="G318" s="4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56"/>
      <c r="B319" s="56"/>
      <c r="C319" s="56"/>
      <c r="D319" s="1"/>
      <c r="E319" s="1"/>
      <c r="F319" s="1"/>
      <c r="G319" s="4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56"/>
      <c r="B320" s="56"/>
      <c r="C320" s="56"/>
      <c r="D320" s="1"/>
      <c r="E320" s="1"/>
      <c r="F320" s="1"/>
      <c r="G320" s="4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56"/>
      <c r="B321" s="56"/>
      <c r="C321" s="56"/>
      <c r="D321" s="1"/>
      <c r="E321" s="1"/>
      <c r="F321" s="1"/>
      <c r="G321" s="4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56"/>
      <c r="B322" s="56"/>
      <c r="C322" s="56"/>
      <c r="D322" s="1"/>
      <c r="E322" s="1"/>
      <c r="F322" s="1"/>
      <c r="G322" s="4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56"/>
      <c r="B323" s="56"/>
      <c r="C323" s="56"/>
      <c r="D323" s="1"/>
      <c r="E323" s="1"/>
      <c r="F323" s="1"/>
      <c r="G323" s="4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56"/>
      <c r="B324" s="56"/>
      <c r="C324" s="56"/>
      <c r="D324" s="1"/>
      <c r="E324" s="1"/>
      <c r="F324" s="1"/>
      <c r="G324" s="4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56"/>
      <c r="B325" s="56"/>
      <c r="C325" s="56"/>
      <c r="D325" s="1"/>
      <c r="E325" s="1"/>
      <c r="F325" s="1"/>
      <c r="G325" s="4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56"/>
      <c r="B326" s="56"/>
      <c r="C326" s="56"/>
      <c r="D326" s="1"/>
      <c r="E326" s="1"/>
      <c r="F326" s="1"/>
      <c r="G326" s="4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56"/>
      <c r="B327" s="56"/>
      <c r="C327" s="56"/>
      <c r="D327" s="1"/>
      <c r="E327" s="1"/>
      <c r="F327" s="1"/>
      <c r="G327" s="4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56"/>
      <c r="B328" s="56"/>
      <c r="C328" s="56"/>
      <c r="D328" s="1"/>
      <c r="E328" s="1"/>
      <c r="F328" s="1"/>
      <c r="G328" s="4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56"/>
      <c r="B329" s="56"/>
      <c r="C329" s="56"/>
      <c r="D329" s="1"/>
      <c r="E329" s="1"/>
      <c r="F329" s="1"/>
      <c r="G329" s="4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56"/>
      <c r="B330" s="56"/>
      <c r="C330" s="56"/>
      <c r="D330" s="1"/>
      <c r="E330" s="1"/>
      <c r="F330" s="1"/>
      <c r="G330" s="4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56"/>
      <c r="B331" s="56"/>
      <c r="C331" s="56"/>
      <c r="D331" s="1"/>
      <c r="E331" s="1"/>
      <c r="F331" s="1"/>
      <c r="G331" s="4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56"/>
      <c r="B332" s="56"/>
      <c r="C332" s="56"/>
      <c r="D332" s="1"/>
      <c r="E332" s="1"/>
      <c r="F332" s="1"/>
      <c r="G332" s="4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56"/>
      <c r="B333" s="56"/>
      <c r="C333" s="56"/>
      <c r="D333" s="1"/>
      <c r="E333" s="1"/>
      <c r="F333" s="1"/>
      <c r="G333" s="4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56"/>
      <c r="B334" s="56"/>
      <c r="C334" s="56"/>
      <c r="D334" s="1"/>
      <c r="E334" s="1"/>
      <c r="F334" s="1"/>
      <c r="G334" s="4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56"/>
      <c r="B335" s="56"/>
      <c r="C335" s="56"/>
      <c r="D335" s="1"/>
      <c r="E335" s="1"/>
      <c r="F335" s="1"/>
      <c r="G335" s="4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56"/>
      <c r="B336" s="56"/>
      <c r="C336" s="56"/>
      <c r="D336" s="1"/>
      <c r="E336" s="1"/>
      <c r="F336" s="1"/>
      <c r="G336" s="4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56"/>
      <c r="B337" s="56"/>
      <c r="C337" s="56"/>
      <c r="D337" s="1"/>
      <c r="E337" s="1"/>
      <c r="F337" s="1"/>
      <c r="G337" s="4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56"/>
      <c r="B338" s="56"/>
      <c r="C338" s="56"/>
      <c r="D338" s="1"/>
      <c r="E338" s="1"/>
      <c r="F338" s="1"/>
      <c r="G338" s="4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56"/>
      <c r="B339" s="56"/>
      <c r="C339" s="56"/>
      <c r="D339" s="1"/>
      <c r="E339" s="1"/>
      <c r="F339" s="1"/>
      <c r="G339" s="4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56"/>
      <c r="B340" s="56"/>
      <c r="C340" s="56"/>
      <c r="D340" s="1"/>
      <c r="E340" s="1"/>
      <c r="F340" s="1"/>
      <c r="G340" s="4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56"/>
      <c r="B341" s="56"/>
      <c r="C341" s="56"/>
      <c r="D341" s="1"/>
      <c r="E341" s="1"/>
      <c r="F341" s="1"/>
      <c r="G341" s="4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56"/>
      <c r="B342" s="56"/>
      <c r="C342" s="56"/>
      <c r="D342" s="1"/>
      <c r="E342" s="1"/>
      <c r="F342" s="1"/>
      <c r="G342" s="4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56"/>
      <c r="B343" s="56"/>
      <c r="C343" s="56"/>
      <c r="D343" s="1"/>
      <c r="E343" s="1"/>
      <c r="F343" s="1"/>
      <c r="G343" s="4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56"/>
      <c r="B344" s="56"/>
      <c r="C344" s="56"/>
      <c r="D344" s="1"/>
      <c r="E344" s="1"/>
      <c r="F344" s="1"/>
      <c r="G344" s="4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56"/>
      <c r="B345" s="56"/>
      <c r="C345" s="56"/>
      <c r="D345" s="1"/>
      <c r="E345" s="1"/>
      <c r="F345" s="1"/>
      <c r="G345" s="4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56"/>
      <c r="B346" s="56"/>
      <c r="C346" s="56"/>
      <c r="D346" s="1"/>
      <c r="E346" s="1"/>
      <c r="F346" s="1"/>
      <c r="G346" s="4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56"/>
      <c r="B347" s="56"/>
      <c r="C347" s="56"/>
      <c r="D347" s="1"/>
      <c r="E347" s="1"/>
      <c r="F347" s="1"/>
      <c r="G347" s="4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56"/>
      <c r="B348" s="56"/>
      <c r="C348" s="56"/>
      <c r="D348" s="1"/>
      <c r="E348" s="1"/>
      <c r="F348" s="1"/>
      <c r="G348" s="4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56"/>
      <c r="B349" s="56"/>
      <c r="C349" s="56"/>
      <c r="D349" s="1"/>
      <c r="E349" s="1"/>
      <c r="F349" s="1"/>
      <c r="G349" s="4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56"/>
      <c r="B350" s="56"/>
      <c r="C350" s="56"/>
      <c r="D350" s="1"/>
      <c r="E350" s="1"/>
      <c r="F350" s="1"/>
      <c r="G350" s="4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56"/>
      <c r="B351" s="56"/>
      <c r="C351" s="56"/>
      <c r="D351" s="1"/>
      <c r="E351" s="1"/>
      <c r="F351" s="1"/>
      <c r="G351" s="4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56"/>
      <c r="B352" s="56"/>
      <c r="C352" s="56"/>
      <c r="D352" s="1"/>
      <c r="E352" s="1"/>
      <c r="F352" s="1"/>
      <c r="G352" s="4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56"/>
      <c r="B353" s="56"/>
      <c r="C353" s="56"/>
      <c r="D353" s="1"/>
      <c r="E353" s="1"/>
      <c r="F353" s="1"/>
      <c r="G353" s="4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56"/>
      <c r="B354" s="56"/>
      <c r="C354" s="56"/>
      <c r="D354" s="1"/>
      <c r="E354" s="1"/>
      <c r="F354" s="1"/>
      <c r="G354" s="4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56"/>
      <c r="B355" s="56"/>
      <c r="C355" s="56"/>
      <c r="D355" s="1"/>
      <c r="E355" s="1"/>
      <c r="F355" s="1"/>
      <c r="G355" s="4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56"/>
      <c r="B356" s="56"/>
      <c r="C356" s="56"/>
      <c r="D356" s="1"/>
      <c r="E356" s="1"/>
      <c r="F356" s="1"/>
      <c r="G356" s="4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56"/>
      <c r="B357" s="56"/>
      <c r="C357" s="56"/>
      <c r="D357" s="1"/>
      <c r="E357" s="1"/>
      <c r="F357" s="1"/>
      <c r="G357" s="4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56"/>
      <c r="B358" s="56"/>
      <c r="C358" s="56"/>
      <c r="D358" s="1"/>
      <c r="E358" s="1"/>
      <c r="F358" s="1"/>
      <c r="G358" s="4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56"/>
      <c r="B359" s="56"/>
      <c r="C359" s="56"/>
      <c r="D359" s="1"/>
      <c r="E359" s="1"/>
      <c r="F359" s="1"/>
      <c r="G359" s="4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56"/>
      <c r="B360" s="56"/>
      <c r="C360" s="56"/>
      <c r="D360" s="1"/>
      <c r="E360" s="1"/>
      <c r="F360" s="1"/>
      <c r="G360" s="4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56"/>
      <c r="B361" s="56"/>
      <c r="C361" s="56"/>
      <c r="D361" s="1"/>
      <c r="E361" s="1"/>
      <c r="F361" s="1"/>
      <c r="G361" s="4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56"/>
      <c r="B362" s="56"/>
      <c r="C362" s="56"/>
      <c r="D362" s="1"/>
      <c r="E362" s="1"/>
      <c r="F362" s="1"/>
      <c r="G362" s="4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56"/>
      <c r="B363" s="56"/>
      <c r="C363" s="56"/>
      <c r="D363" s="1"/>
      <c r="E363" s="1"/>
      <c r="F363" s="1"/>
      <c r="G363" s="4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56"/>
      <c r="B364" s="56"/>
      <c r="C364" s="56"/>
      <c r="D364" s="1"/>
      <c r="E364" s="1"/>
      <c r="F364" s="1"/>
      <c r="G364" s="4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56"/>
      <c r="B365" s="56"/>
      <c r="C365" s="56"/>
      <c r="D365" s="1"/>
      <c r="E365" s="1"/>
      <c r="F365" s="1"/>
      <c r="G365" s="4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56"/>
      <c r="B366" s="56"/>
      <c r="C366" s="56"/>
      <c r="D366" s="1"/>
      <c r="E366" s="1"/>
      <c r="F366" s="1"/>
      <c r="G366" s="4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56"/>
      <c r="B367" s="56"/>
      <c r="C367" s="56"/>
      <c r="D367" s="1"/>
      <c r="E367" s="1"/>
      <c r="F367" s="1"/>
      <c r="G367" s="4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56"/>
      <c r="B368" s="56"/>
      <c r="C368" s="56"/>
      <c r="D368" s="1"/>
      <c r="E368" s="1"/>
      <c r="F368" s="1"/>
      <c r="G368" s="4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56"/>
      <c r="B369" s="56"/>
      <c r="C369" s="56"/>
      <c r="D369" s="1"/>
      <c r="E369" s="1"/>
      <c r="F369" s="1"/>
      <c r="G369" s="4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56"/>
      <c r="B370" s="56"/>
      <c r="C370" s="56"/>
      <c r="D370" s="1"/>
      <c r="E370" s="1"/>
      <c r="F370" s="1"/>
      <c r="G370" s="4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56"/>
      <c r="B371" s="56"/>
      <c r="C371" s="56"/>
      <c r="D371" s="1"/>
      <c r="E371" s="1"/>
      <c r="F371" s="1"/>
      <c r="G371" s="4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56"/>
      <c r="B372" s="56"/>
      <c r="C372" s="56"/>
      <c r="D372" s="1"/>
      <c r="E372" s="1"/>
      <c r="F372" s="1"/>
      <c r="G372" s="4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56"/>
      <c r="B373" s="56"/>
      <c r="C373" s="56"/>
      <c r="D373" s="1"/>
      <c r="E373" s="1"/>
      <c r="F373" s="1"/>
      <c r="G373" s="4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56"/>
      <c r="B374" s="56"/>
      <c r="C374" s="56"/>
      <c r="D374" s="1"/>
      <c r="E374" s="1"/>
      <c r="F374" s="1"/>
      <c r="G374" s="4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56"/>
      <c r="B375" s="56"/>
      <c r="C375" s="56"/>
      <c r="D375" s="1"/>
      <c r="E375" s="1"/>
      <c r="F375" s="1"/>
      <c r="G375" s="4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56"/>
      <c r="B376" s="56"/>
      <c r="C376" s="56"/>
      <c r="D376" s="1"/>
      <c r="E376" s="1"/>
      <c r="F376" s="1"/>
      <c r="G376" s="4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56"/>
      <c r="B377" s="56"/>
      <c r="C377" s="56"/>
      <c r="D377" s="1"/>
      <c r="E377" s="1"/>
      <c r="F377" s="1"/>
      <c r="G377" s="4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56"/>
      <c r="B378" s="56"/>
      <c r="C378" s="56"/>
      <c r="D378" s="1"/>
      <c r="E378" s="1"/>
      <c r="F378" s="1"/>
      <c r="G378" s="4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56"/>
      <c r="B379" s="56"/>
      <c r="C379" s="56"/>
      <c r="D379" s="1"/>
      <c r="E379" s="1"/>
      <c r="F379" s="1"/>
      <c r="G379" s="4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56"/>
      <c r="B380" s="56"/>
      <c r="C380" s="56"/>
      <c r="D380" s="1"/>
      <c r="E380" s="1"/>
      <c r="F380" s="1"/>
      <c r="G380" s="4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56"/>
      <c r="B381" s="56"/>
      <c r="C381" s="56"/>
      <c r="D381" s="1"/>
      <c r="E381" s="1"/>
      <c r="F381" s="1"/>
      <c r="G381" s="4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56"/>
      <c r="B382" s="56"/>
      <c r="C382" s="56"/>
      <c r="D382" s="1"/>
      <c r="E382" s="1"/>
      <c r="F382" s="1"/>
      <c r="G382" s="4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56"/>
      <c r="B383" s="56"/>
      <c r="C383" s="56"/>
      <c r="D383" s="1"/>
      <c r="E383" s="1"/>
      <c r="F383" s="1"/>
      <c r="G383" s="4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56"/>
      <c r="B384" s="56"/>
      <c r="C384" s="56"/>
      <c r="D384" s="1"/>
      <c r="E384" s="1"/>
      <c r="F384" s="1"/>
      <c r="G384" s="4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56"/>
      <c r="B385" s="56"/>
      <c r="C385" s="56"/>
      <c r="D385" s="1"/>
      <c r="E385" s="1"/>
      <c r="F385" s="1"/>
      <c r="G385" s="4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56"/>
      <c r="B386" s="56"/>
      <c r="C386" s="56"/>
      <c r="D386" s="1"/>
      <c r="E386" s="1"/>
      <c r="F386" s="1"/>
      <c r="G386" s="4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56"/>
      <c r="B387" s="56"/>
      <c r="C387" s="56"/>
      <c r="D387" s="1"/>
      <c r="E387" s="1"/>
      <c r="F387" s="1"/>
      <c r="G387" s="4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56"/>
      <c r="B388" s="56"/>
      <c r="C388" s="56"/>
      <c r="D388" s="1"/>
      <c r="E388" s="1"/>
      <c r="F388" s="1"/>
      <c r="G388" s="4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56"/>
      <c r="B389" s="56"/>
      <c r="C389" s="56"/>
      <c r="D389" s="1"/>
      <c r="E389" s="1"/>
      <c r="F389" s="1"/>
      <c r="G389" s="4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56"/>
      <c r="B390" s="56"/>
      <c r="C390" s="56"/>
      <c r="D390" s="1"/>
      <c r="E390" s="1"/>
      <c r="F390" s="1"/>
      <c r="G390" s="4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56"/>
      <c r="B391" s="56"/>
      <c r="C391" s="56"/>
      <c r="D391" s="1"/>
      <c r="E391" s="1"/>
      <c r="F391" s="1"/>
      <c r="G391" s="4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56"/>
      <c r="B392" s="56"/>
      <c r="C392" s="56"/>
      <c r="D392" s="1"/>
      <c r="E392" s="1"/>
      <c r="F392" s="1"/>
      <c r="G392" s="4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56"/>
      <c r="B393" s="56"/>
      <c r="C393" s="56"/>
      <c r="D393" s="1"/>
      <c r="E393" s="1"/>
      <c r="F393" s="1"/>
      <c r="G393" s="4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56"/>
      <c r="B394" s="56"/>
      <c r="C394" s="56"/>
      <c r="D394" s="1"/>
      <c r="E394" s="1"/>
      <c r="F394" s="1"/>
      <c r="G394" s="4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56"/>
      <c r="B395" s="56"/>
      <c r="C395" s="56"/>
      <c r="D395" s="1"/>
      <c r="E395" s="1"/>
      <c r="F395" s="1"/>
      <c r="G395" s="4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56"/>
      <c r="B396" s="56"/>
      <c r="C396" s="56"/>
      <c r="D396" s="1"/>
      <c r="E396" s="1"/>
      <c r="F396" s="1"/>
      <c r="G396" s="4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56"/>
      <c r="B397" s="56"/>
      <c r="C397" s="56"/>
      <c r="D397" s="1"/>
      <c r="E397" s="1"/>
      <c r="F397" s="1"/>
      <c r="G397" s="4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56"/>
      <c r="B398" s="56"/>
      <c r="C398" s="56"/>
      <c r="D398" s="1"/>
      <c r="E398" s="1"/>
      <c r="F398" s="1"/>
      <c r="G398" s="4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56"/>
      <c r="B399" s="56"/>
      <c r="C399" s="56"/>
      <c r="D399" s="1"/>
      <c r="E399" s="1"/>
      <c r="F399" s="1"/>
      <c r="G399" s="4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56"/>
      <c r="B400" s="56"/>
      <c r="C400" s="56"/>
      <c r="D400" s="1"/>
      <c r="E400" s="1"/>
      <c r="F400" s="1"/>
      <c r="G400" s="4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56"/>
      <c r="B401" s="56"/>
      <c r="C401" s="56"/>
      <c r="D401" s="1"/>
      <c r="E401" s="1"/>
      <c r="F401" s="1"/>
      <c r="G401" s="4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56"/>
      <c r="B402" s="56"/>
      <c r="C402" s="56"/>
      <c r="D402" s="1"/>
      <c r="E402" s="1"/>
      <c r="F402" s="1"/>
      <c r="G402" s="4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56"/>
      <c r="B403" s="56"/>
      <c r="C403" s="56"/>
      <c r="D403" s="1"/>
      <c r="E403" s="1"/>
      <c r="F403" s="1"/>
      <c r="G403" s="4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56"/>
      <c r="B404" s="56"/>
      <c r="C404" s="56"/>
      <c r="D404" s="1"/>
      <c r="E404" s="1"/>
      <c r="F404" s="1"/>
      <c r="G404" s="4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56"/>
      <c r="B405" s="56"/>
      <c r="C405" s="56"/>
      <c r="D405" s="1"/>
      <c r="E405" s="1"/>
      <c r="F405" s="1"/>
      <c r="G405" s="4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56"/>
      <c r="B406" s="56"/>
      <c r="C406" s="56"/>
      <c r="D406" s="1"/>
      <c r="E406" s="1"/>
      <c r="F406" s="1"/>
      <c r="G406" s="4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56"/>
      <c r="B407" s="56"/>
      <c r="C407" s="56"/>
      <c r="D407" s="1"/>
      <c r="E407" s="1"/>
      <c r="F407" s="1"/>
      <c r="G407" s="4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56"/>
      <c r="B408" s="56"/>
      <c r="C408" s="56"/>
      <c r="D408" s="1"/>
      <c r="E408" s="1"/>
      <c r="F408" s="1"/>
      <c r="G408" s="4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56"/>
      <c r="B409" s="56"/>
      <c r="C409" s="56"/>
      <c r="D409" s="1"/>
      <c r="E409" s="1"/>
      <c r="F409" s="1"/>
      <c r="G409" s="4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56"/>
      <c r="B410" s="56"/>
      <c r="C410" s="56"/>
      <c r="D410" s="1"/>
      <c r="E410" s="1"/>
      <c r="F410" s="1"/>
      <c r="G410" s="4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56"/>
      <c r="B411" s="56"/>
      <c r="C411" s="56"/>
      <c r="D411" s="1"/>
      <c r="E411" s="1"/>
      <c r="F411" s="1"/>
      <c r="G411" s="4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56"/>
      <c r="B412" s="56"/>
      <c r="C412" s="56"/>
      <c r="D412" s="1"/>
      <c r="E412" s="1"/>
      <c r="F412" s="1"/>
      <c r="G412" s="4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56"/>
      <c r="B413" s="56"/>
      <c r="C413" s="56"/>
      <c r="D413" s="1"/>
      <c r="E413" s="1"/>
      <c r="F413" s="1"/>
      <c r="G413" s="4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56"/>
      <c r="B414" s="56"/>
      <c r="C414" s="56"/>
      <c r="D414" s="1"/>
      <c r="E414" s="1"/>
      <c r="F414" s="1"/>
      <c r="G414" s="4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56"/>
      <c r="B415" s="56"/>
      <c r="C415" s="56"/>
      <c r="D415" s="1"/>
      <c r="E415" s="1"/>
      <c r="F415" s="1"/>
      <c r="G415" s="4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56"/>
      <c r="B416" s="56"/>
      <c r="C416" s="56"/>
      <c r="D416" s="1"/>
      <c r="E416" s="1"/>
      <c r="F416" s="1"/>
      <c r="G416" s="4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56"/>
      <c r="B417" s="56"/>
      <c r="C417" s="56"/>
      <c r="D417" s="1"/>
      <c r="E417" s="1"/>
      <c r="F417" s="1"/>
      <c r="G417" s="4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56"/>
      <c r="B418" s="56"/>
      <c r="C418" s="56"/>
      <c r="D418" s="1"/>
      <c r="E418" s="1"/>
      <c r="F418" s="1"/>
      <c r="G418" s="4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56"/>
      <c r="B419" s="56"/>
      <c r="C419" s="56"/>
      <c r="D419" s="1"/>
      <c r="E419" s="1"/>
      <c r="F419" s="1"/>
      <c r="G419" s="4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56"/>
      <c r="B420" s="56"/>
      <c r="C420" s="56"/>
      <c r="D420" s="1"/>
      <c r="E420" s="1"/>
      <c r="F420" s="1"/>
      <c r="G420" s="4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56"/>
      <c r="B421" s="56"/>
      <c r="C421" s="56"/>
      <c r="D421" s="1"/>
      <c r="E421" s="1"/>
      <c r="F421" s="1"/>
      <c r="G421" s="4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56"/>
      <c r="B422" s="56"/>
      <c r="C422" s="56"/>
      <c r="D422" s="1"/>
      <c r="E422" s="1"/>
      <c r="F422" s="1"/>
      <c r="G422" s="4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56"/>
      <c r="B423" s="56"/>
      <c r="C423" s="56"/>
      <c r="D423" s="1"/>
      <c r="E423" s="1"/>
      <c r="F423" s="1"/>
      <c r="G423" s="4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56"/>
      <c r="B424" s="56"/>
      <c r="C424" s="56"/>
      <c r="D424" s="1"/>
      <c r="E424" s="1"/>
      <c r="F424" s="1"/>
      <c r="G424" s="4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56"/>
      <c r="B425" s="56"/>
      <c r="C425" s="56"/>
      <c r="D425" s="1"/>
      <c r="E425" s="1"/>
      <c r="F425" s="1"/>
      <c r="G425" s="4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56"/>
      <c r="B426" s="56"/>
      <c r="C426" s="56"/>
      <c r="D426" s="1"/>
      <c r="E426" s="1"/>
      <c r="F426" s="1"/>
      <c r="G426" s="4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56"/>
      <c r="B427" s="56"/>
      <c r="C427" s="56"/>
      <c r="D427" s="1"/>
      <c r="E427" s="1"/>
      <c r="F427" s="1"/>
      <c r="G427" s="4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56"/>
      <c r="B428" s="56"/>
      <c r="C428" s="56"/>
      <c r="D428" s="1"/>
      <c r="E428" s="1"/>
      <c r="F428" s="1"/>
      <c r="G428" s="4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56"/>
      <c r="B429" s="56"/>
      <c r="C429" s="56"/>
      <c r="D429" s="1"/>
      <c r="E429" s="1"/>
      <c r="F429" s="1"/>
      <c r="G429" s="4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56"/>
      <c r="B430" s="56"/>
      <c r="C430" s="56"/>
      <c r="D430" s="1"/>
      <c r="E430" s="1"/>
      <c r="F430" s="1"/>
      <c r="G430" s="4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56"/>
      <c r="B431" s="56"/>
      <c r="C431" s="56"/>
      <c r="D431" s="1"/>
      <c r="E431" s="1"/>
      <c r="F431" s="1"/>
      <c r="G431" s="4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56"/>
      <c r="B432" s="56"/>
      <c r="C432" s="56"/>
      <c r="D432" s="1"/>
      <c r="E432" s="1"/>
      <c r="F432" s="1"/>
      <c r="G432" s="4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56"/>
      <c r="B433" s="56"/>
      <c r="C433" s="56"/>
      <c r="D433" s="1"/>
      <c r="E433" s="1"/>
      <c r="F433" s="1"/>
      <c r="G433" s="4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56"/>
      <c r="B434" s="56"/>
      <c r="C434" s="56"/>
      <c r="D434" s="1"/>
      <c r="E434" s="1"/>
      <c r="F434" s="1"/>
      <c r="G434" s="4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56"/>
      <c r="B435" s="56"/>
      <c r="C435" s="56"/>
      <c r="D435" s="1"/>
      <c r="E435" s="1"/>
      <c r="F435" s="1"/>
      <c r="G435" s="4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56"/>
      <c r="B436" s="56"/>
      <c r="C436" s="56"/>
      <c r="D436" s="1"/>
      <c r="E436" s="1"/>
      <c r="F436" s="1"/>
      <c r="G436" s="4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56"/>
      <c r="B437" s="56"/>
      <c r="C437" s="56"/>
      <c r="D437" s="1"/>
      <c r="E437" s="1"/>
      <c r="F437" s="1"/>
      <c r="G437" s="4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56"/>
      <c r="B438" s="56"/>
      <c r="C438" s="56"/>
      <c r="D438" s="1"/>
      <c r="E438" s="1"/>
      <c r="F438" s="1"/>
      <c r="G438" s="4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56"/>
      <c r="B439" s="56"/>
      <c r="C439" s="56"/>
      <c r="D439" s="1"/>
      <c r="E439" s="1"/>
      <c r="F439" s="1"/>
      <c r="G439" s="4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56"/>
      <c r="B440" s="56"/>
      <c r="C440" s="56"/>
      <c r="D440" s="1"/>
      <c r="E440" s="1"/>
      <c r="F440" s="1"/>
      <c r="G440" s="4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56"/>
      <c r="B441" s="56"/>
      <c r="C441" s="56"/>
      <c r="D441" s="1"/>
      <c r="E441" s="1"/>
      <c r="F441" s="1"/>
      <c r="G441" s="4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56"/>
      <c r="B442" s="56"/>
      <c r="C442" s="56"/>
      <c r="D442" s="1"/>
      <c r="E442" s="1"/>
      <c r="F442" s="1"/>
      <c r="G442" s="4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56"/>
      <c r="B443" s="56"/>
      <c r="C443" s="56"/>
      <c r="D443" s="1"/>
      <c r="E443" s="1"/>
      <c r="F443" s="1"/>
      <c r="G443" s="4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56"/>
      <c r="B444" s="56"/>
      <c r="C444" s="56"/>
      <c r="D444" s="1"/>
      <c r="E444" s="1"/>
      <c r="F444" s="1"/>
      <c r="G444" s="4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56"/>
      <c r="B445" s="56"/>
      <c r="C445" s="56"/>
      <c r="D445" s="1"/>
      <c r="E445" s="1"/>
      <c r="F445" s="1"/>
      <c r="G445" s="4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56"/>
      <c r="B446" s="56"/>
      <c r="C446" s="56"/>
      <c r="D446" s="1"/>
      <c r="E446" s="1"/>
      <c r="F446" s="1"/>
      <c r="G446" s="4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56"/>
      <c r="B447" s="56"/>
      <c r="C447" s="56"/>
      <c r="D447" s="1"/>
      <c r="E447" s="1"/>
      <c r="F447" s="1"/>
      <c r="G447" s="4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56"/>
      <c r="B448" s="56"/>
      <c r="C448" s="56"/>
      <c r="D448" s="1"/>
      <c r="E448" s="1"/>
      <c r="F448" s="1"/>
      <c r="G448" s="4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56"/>
      <c r="B449" s="56"/>
      <c r="C449" s="56"/>
      <c r="D449" s="1"/>
      <c r="E449" s="1"/>
      <c r="F449" s="1"/>
      <c r="G449" s="4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56"/>
      <c r="B450" s="56"/>
      <c r="C450" s="56"/>
      <c r="D450" s="1"/>
      <c r="E450" s="1"/>
      <c r="F450" s="1"/>
      <c r="G450" s="4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56"/>
      <c r="B451" s="56"/>
      <c r="C451" s="56"/>
      <c r="D451" s="1"/>
      <c r="E451" s="1"/>
      <c r="F451" s="1"/>
      <c r="G451" s="4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56"/>
      <c r="B452" s="56"/>
      <c r="C452" s="56"/>
      <c r="D452" s="1"/>
      <c r="E452" s="1"/>
      <c r="F452" s="1"/>
      <c r="G452" s="4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56"/>
      <c r="B453" s="56"/>
      <c r="C453" s="56"/>
      <c r="D453" s="1"/>
      <c r="E453" s="1"/>
      <c r="F453" s="1"/>
      <c r="G453" s="4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56"/>
      <c r="B454" s="56"/>
      <c r="C454" s="56"/>
      <c r="D454" s="1"/>
      <c r="E454" s="1"/>
      <c r="F454" s="1"/>
      <c r="G454" s="4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56"/>
      <c r="B455" s="56"/>
      <c r="C455" s="56"/>
      <c r="D455" s="1"/>
      <c r="E455" s="1"/>
      <c r="F455" s="1"/>
      <c r="G455" s="4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56"/>
      <c r="B456" s="56"/>
      <c r="C456" s="56"/>
      <c r="D456" s="1"/>
      <c r="E456" s="1"/>
      <c r="F456" s="1"/>
      <c r="G456" s="4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56"/>
      <c r="B457" s="56"/>
      <c r="C457" s="56"/>
      <c r="D457" s="1"/>
      <c r="E457" s="1"/>
      <c r="F457" s="1"/>
      <c r="G457" s="4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56"/>
      <c r="B458" s="56"/>
      <c r="C458" s="56"/>
      <c r="D458" s="1"/>
      <c r="E458" s="1"/>
      <c r="F458" s="1"/>
      <c r="G458" s="4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56"/>
      <c r="B459" s="56"/>
      <c r="C459" s="56"/>
      <c r="D459" s="1"/>
      <c r="E459" s="1"/>
      <c r="F459" s="1"/>
      <c r="G459" s="4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56"/>
      <c r="B460" s="56"/>
      <c r="C460" s="56"/>
      <c r="D460" s="1"/>
      <c r="E460" s="1"/>
      <c r="F460" s="1"/>
      <c r="G460" s="4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56"/>
      <c r="B461" s="56"/>
      <c r="C461" s="56"/>
      <c r="D461" s="1"/>
      <c r="E461" s="1"/>
      <c r="F461" s="1"/>
      <c r="G461" s="4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56"/>
      <c r="B462" s="56"/>
      <c r="C462" s="56"/>
      <c r="D462" s="1"/>
      <c r="E462" s="1"/>
      <c r="F462" s="1"/>
      <c r="G462" s="4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56"/>
      <c r="B463" s="56"/>
      <c r="C463" s="56"/>
      <c r="D463" s="1"/>
      <c r="E463" s="1"/>
      <c r="F463" s="1"/>
      <c r="G463" s="4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56"/>
      <c r="B464" s="56"/>
      <c r="C464" s="56"/>
      <c r="D464" s="1"/>
      <c r="E464" s="1"/>
      <c r="F464" s="1"/>
      <c r="G464" s="4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56"/>
      <c r="B465" s="56"/>
      <c r="C465" s="56"/>
      <c r="D465" s="1"/>
      <c r="E465" s="1"/>
      <c r="F465" s="1"/>
      <c r="G465" s="4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56"/>
      <c r="B466" s="56"/>
      <c r="C466" s="56"/>
      <c r="D466" s="1"/>
      <c r="E466" s="1"/>
      <c r="F466" s="1"/>
      <c r="G466" s="4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56"/>
      <c r="B467" s="56"/>
      <c r="C467" s="56"/>
      <c r="D467" s="1"/>
      <c r="E467" s="1"/>
      <c r="F467" s="1"/>
      <c r="G467" s="4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56"/>
      <c r="B468" s="56"/>
      <c r="C468" s="56"/>
      <c r="D468" s="1"/>
      <c r="E468" s="1"/>
      <c r="F468" s="1"/>
      <c r="G468" s="4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56"/>
      <c r="B469" s="56"/>
      <c r="C469" s="56"/>
      <c r="D469" s="1"/>
      <c r="E469" s="1"/>
      <c r="F469" s="1"/>
      <c r="G469" s="4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56"/>
      <c r="B470" s="56"/>
      <c r="C470" s="56"/>
      <c r="D470" s="1"/>
      <c r="E470" s="1"/>
      <c r="F470" s="1"/>
      <c r="G470" s="4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56"/>
      <c r="B471" s="56"/>
      <c r="C471" s="56"/>
      <c r="D471" s="1"/>
      <c r="E471" s="1"/>
      <c r="F471" s="1"/>
      <c r="G471" s="4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56"/>
      <c r="B472" s="56"/>
      <c r="C472" s="56"/>
      <c r="D472" s="1"/>
      <c r="E472" s="1"/>
      <c r="F472" s="1"/>
      <c r="G472" s="4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56"/>
      <c r="B473" s="56"/>
      <c r="C473" s="56"/>
      <c r="D473" s="1"/>
      <c r="E473" s="1"/>
      <c r="F473" s="1"/>
      <c r="G473" s="4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56"/>
      <c r="B474" s="56"/>
      <c r="C474" s="56"/>
      <c r="D474" s="1"/>
      <c r="E474" s="1"/>
      <c r="F474" s="1"/>
      <c r="G474" s="4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56"/>
      <c r="B475" s="56"/>
      <c r="C475" s="56"/>
      <c r="D475" s="1"/>
      <c r="E475" s="1"/>
      <c r="F475" s="1"/>
      <c r="G475" s="4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56"/>
      <c r="B476" s="56"/>
      <c r="C476" s="56"/>
      <c r="D476" s="1"/>
      <c r="E476" s="1"/>
      <c r="F476" s="1"/>
      <c r="G476" s="4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56"/>
      <c r="B477" s="56"/>
      <c r="C477" s="56"/>
      <c r="D477" s="1"/>
      <c r="E477" s="1"/>
      <c r="F477" s="1"/>
      <c r="G477" s="4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56"/>
      <c r="B478" s="56"/>
      <c r="C478" s="56"/>
      <c r="D478" s="1"/>
      <c r="E478" s="1"/>
      <c r="F478" s="1"/>
      <c r="G478" s="4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56"/>
      <c r="B479" s="56"/>
      <c r="C479" s="56"/>
      <c r="D479" s="1"/>
      <c r="E479" s="1"/>
      <c r="F479" s="1"/>
      <c r="G479" s="4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56"/>
      <c r="B480" s="56"/>
      <c r="C480" s="56"/>
      <c r="D480" s="1"/>
      <c r="E480" s="1"/>
      <c r="F480" s="1"/>
      <c r="G480" s="4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56"/>
      <c r="B481" s="56"/>
      <c r="C481" s="56"/>
      <c r="D481" s="1"/>
      <c r="E481" s="1"/>
      <c r="F481" s="1"/>
      <c r="G481" s="4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56"/>
      <c r="B482" s="56"/>
      <c r="C482" s="56"/>
      <c r="D482" s="1"/>
      <c r="E482" s="1"/>
      <c r="F482" s="1"/>
      <c r="G482" s="4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56"/>
      <c r="B483" s="56"/>
      <c r="C483" s="56"/>
      <c r="D483" s="1"/>
      <c r="E483" s="1"/>
      <c r="F483" s="1"/>
      <c r="G483" s="4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56"/>
      <c r="B484" s="56"/>
      <c r="C484" s="56"/>
      <c r="D484" s="1"/>
      <c r="E484" s="1"/>
      <c r="F484" s="1"/>
      <c r="G484" s="4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56"/>
      <c r="B485" s="56"/>
      <c r="C485" s="56"/>
      <c r="D485" s="1"/>
      <c r="E485" s="1"/>
      <c r="F485" s="1"/>
      <c r="G485" s="4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56"/>
      <c r="B486" s="56"/>
      <c r="C486" s="56"/>
      <c r="D486" s="1"/>
      <c r="E486" s="1"/>
      <c r="F486" s="1"/>
      <c r="G486" s="4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56"/>
      <c r="B487" s="56"/>
      <c r="C487" s="56"/>
      <c r="D487" s="1"/>
      <c r="E487" s="1"/>
      <c r="F487" s="1"/>
      <c r="G487" s="4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56"/>
      <c r="B488" s="56"/>
      <c r="C488" s="56"/>
      <c r="D488" s="1"/>
      <c r="E488" s="1"/>
      <c r="F488" s="1"/>
      <c r="G488" s="4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56"/>
      <c r="B489" s="56"/>
      <c r="C489" s="56"/>
      <c r="D489" s="1"/>
      <c r="E489" s="1"/>
      <c r="F489" s="1"/>
      <c r="G489" s="4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56"/>
      <c r="B490" s="56"/>
      <c r="C490" s="56"/>
      <c r="D490" s="1"/>
      <c r="E490" s="1"/>
      <c r="F490" s="1"/>
      <c r="G490" s="4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56"/>
      <c r="B491" s="56"/>
      <c r="C491" s="56"/>
      <c r="D491" s="1"/>
      <c r="E491" s="1"/>
      <c r="F491" s="1"/>
      <c r="G491" s="4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56"/>
      <c r="B492" s="56"/>
      <c r="C492" s="56"/>
      <c r="D492" s="1"/>
      <c r="E492" s="1"/>
      <c r="F492" s="1"/>
      <c r="G492" s="4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56"/>
      <c r="B493" s="56"/>
      <c r="C493" s="56"/>
      <c r="D493" s="1"/>
      <c r="E493" s="1"/>
      <c r="F493" s="1"/>
      <c r="G493" s="4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56"/>
      <c r="B494" s="56"/>
      <c r="C494" s="56"/>
      <c r="D494" s="1"/>
      <c r="E494" s="1"/>
      <c r="F494" s="1"/>
      <c r="G494" s="4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56"/>
      <c r="B495" s="56"/>
      <c r="C495" s="56"/>
      <c r="D495" s="1"/>
      <c r="E495" s="1"/>
      <c r="F495" s="1"/>
      <c r="G495" s="4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56"/>
      <c r="B496" s="56"/>
      <c r="C496" s="56"/>
      <c r="D496" s="1"/>
      <c r="E496" s="1"/>
      <c r="F496" s="1"/>
      <c r="G496" s="4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56"/>
      <c r="B497" s="56"/>
      <c r="C497" s="56"/>
      <c r="D497" s="1"/>
      <c r="E497" s="1"/>
      <c r="F497" s="1"/>
      <c r="G497" s="4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56"/>
      <c r="B498" s="56"/>
      <c r="C498" s="56"/>
      <c r="D498" s="1"/>
      <c r="E498" s="1"/>
      <c r="F498" s="1"/>
      <c r="G498" s="4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56"/>
      <c r="B499" s="56"/>
      <c r="C499" s="56"/>
      <c r="D499" s="1"/>
      <c r="E499" s="1"/>
      <c r="F499" s="1"/>
      <c r="G499" s="4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56"/>
      <c r="B500" s="56"/>
      <c r="C500" s="56"/>
      <c r="D500" s="1"/>
      <c r="E500" s="1"/>
      <c r="F500" s="1"/>
      <c r="G500" s="4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56"/>
      <c r="B501" s="56"/>
      <c r="C501" s="56"/>
      <c r="D501" s="1"/>
      <c r="E501" s="1"/>
      <c r="F501" s="1"/>
      <c r="G501" s="4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56"/>
      <c r="B502" s="56"/>
      <c r="C502" s="56"/>
      <c r="D502" s="1"/>
      <c r="E502" s="1"/>
      <c r="F502" s="1"/>
      <c r="G502" s="4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56"/>
      <c r="B503" s="56"/>
      <c r="C503" s="56"/>
      <c r="D503" s="1"/>
      <c r="E503" s="1"/>
      <c r="F503" s="1"/>
      <c r="G503" s="4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56"/>
      <c r="B504" s="56"/>
      <c r="C504" s="56"/>
      <c r="D504" s="1"/>
      <c r="E504" s="1"/>
      <c r="F504" s="1"/>
      <c r="G504" s="4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56"/>
      <c r="B505" s="56"/>
      <c r="C505" s="56"/>
      <c r="D505" s="1"/>
      <c r="E505" s="1"/>
      <c r="F505" s="1"/>
      <c r="G505" s="4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56"/>
      <c r="B506" s="56"/>
      <c r="C506" s="56"/>
      <c r="D506" s="1"/>
      <c r="E506" s="1"/>
      <c r="F506" s="1"/>
      <c r="G506" s="4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56"/>
      <c r="B507" s="56"/>
      <c r="C507" s="56"/>
      <c r="D507" s="1"/>
      <c r="E507" s="1"/>
      <c r="F507" s="1"/>
      <c r="G507" s="4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56"/>
      <c r="B508" s="56"/>
      <c r="C508" s="56"/>
      <c r="D508" s="1"/>
      <c r="E508" s="1"/>
      <c r="F508" s="1"/>
      <c r="G508" s="4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56"/>
      <c r="B509" s="56"/>
      <c r="C509" s="56"/>
      <c r="D509" s="1"/>
      <c r="E509" s="1"/>
      <c r="F509" s="1"/>
      <c r="G509" s="4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56"/>
      <c r="B510" s="56"/>
      <c r="C510" s="56"/>
      <c r="D510" s="1"/>
      <c r="E510" s="1"/>
      <c r="F510" s="1"/>
      <c r="G510" s="4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56"/>
      <c r="B511" s="56"/>
      <c r="C511" s="56"/>
      <c r="D511" s="1"/>
      <c r="E511" s="1"/>
      <c r="F511" s="1"/>
      <c r="G511" s="4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56"/>
      <c r="B512" s="56"/>
      <c r="C512" s="56"/>
      <c r="D512" s="1"/>
      <c r="E512" s="1"/>
      <c r="F512" s="1"/>
      <c r="G512" s="4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56"/>
      <c r="B513" s="56"/>
      <c r="C513" s="56"/>
      <c r="D513" s="1"/>
      <c r="E513" s="1"/>
      <c r="F513" s="1"/>
      <c r="G513" s="4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56"/>
      <c r="B514" s="56"/>
      <c r="C514" s="56"/>
      <c r="D514" s="1"/>
      <c r="E514" s="1"/>
      <c r="F514" s="1"/>
      <c r="G514" s="4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56"/>
      <c r="B515" s="56"/>
      <c r="C515" s="56"/>
      <c r="D515" s="1"/>
      <c r="E515" s="1"/>
      <c r="F515" s="1"/>
      <c r="G515" s="4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56"/>
      <c r="B516" s="56"/>
      <c r="C516" s="56"/>
      <c r="D516" s="1"/>
      <c r="E516" s="1"/>
      <c r="F516" s="1"/>
      <c r="G516" s="4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56"/>
      <c r="B517" s="56"/>
      <c r="C517" s="56"/>
      <c r="D517" s="1"/>
      <c r="E517" s="1"/>
      <c r="F517" s="1"/>
      <c r="G517" s="4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56"/>
      <c r="B518" s="56"/>
      <c r="C518" s="56"/>
      <c r="D518" s="1"/>
      <c r="E518" s="1"/>
      <c r="F518" s="1"/>
      <c r="G518" s="4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56"/>
      <c r="B519" s="56"/>
      <c r="C519" s="56"/>
      <c r="D519" s="1"/>
      <c r="E519" s="1"/>
      <c r="F519" s="1"/>
      <c r="G519" s="4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56"/>
      <c r="B520" s="56"/>
      <c r="C520" s="56"/>
      <c r="D520" s="1"/>
      <c r="E520" s="1"/>
      <c r="F520" s="1"/>
      <c r="G520" s="4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4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4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4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4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4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4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4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4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4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4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4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4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4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4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4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4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4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4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4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4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4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4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4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4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4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4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4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4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4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4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4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4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4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4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4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4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4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4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4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4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4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4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4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4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4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4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4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4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4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4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4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4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4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4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4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4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4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4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4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4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4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4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4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4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4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4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4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4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4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4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4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4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4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4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4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4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4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4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4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4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4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4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4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4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4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4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4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4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4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4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4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4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4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4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4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4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4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4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4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4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4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4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4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4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4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4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4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4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4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4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4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4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4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4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4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4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</sheetData>
  <mergeCells count="5">
    <mergeCell ref="A1:K1"/>
    <mergeCell ref="A4:C4"/>
    <mergeCell ref="D4:K4"/>
    <mergeCell ref="E13:I13"/>
    <mergeCell ref="J13:M13"/>
  </mergeCells>
  <dataValidations>
    <dataValidation type="list" allowBlank="1" showErrorMessage="1" sqref="G15:G29 J15:J29">
      <formula1>"0,0.25,0.50,0.75,1.0,N/A"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38"/>
    <col customWidth="1" min="3" max="3" width="39.13"/>
    <col customWidth="1" min="4" max="4" width="58.5"/>
    <col customWidth="1" min="5" max="5" width="14.38"/>
    <col customWidth="1" min="6" max="6" width="14.75"/>
    <col customWidth="1" min="7" max="7" width="12.25"/>
    <col customWidth="1" min="8" max="8" width="11.38"/>
    <col customWidth="1" min="9" max="9" width="13.0"/>
    <col customWidth="1" min="10" max="10" width="20.25"/>
    <col customWidth="1" min="11" max="11" width="19.75"/>
  </cols>
  <sheetData>
    <row r="1" ht="39.75" customHeight="1">
      <c r="A1" s="198" t="s">
        <v>409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B2" s="48"/>
      <c r="C2" s="48"/>
      <c r="D2" s="48"/>
      <c r="E2" s="1"/>
      <c r="F2" s="1"/>
      <c r="G2" s="49"/>
      <c r="H2" s="19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50"/>
      <c r="B3" s="50"/>
      <c r="C3" s="50"/>
      <c r="D3" s="1"/>
      <c r="E3" s="1"/>
      <c r="F3" s="1"/>
      <c r="G3" s="49"/>
      <c r="H3" s="19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00" t="s">
        <v>410</v>
      </c>
      <c r="B4" s="52"/>
      <c r="C4" s="53"/>
      <c r="D4" s="201" t="s">
        <v>411</v>
      </c>
      <c r="E4" s="52"/>
      <c r="F4" s="52"/>
      <c r="G4" s="52"/>
      <c r="H4" s="52"/>
      <c r="I4" s="52"/>
      <c r="J4" s="5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55"/>
      <c r="B5" s="56"/>
      <c r="C5" s="56"/>
      <c r="D5" s="1"/>
      <c r="E5" s="1"/>
      <c r="F5" s="1"/>
      <c r="G5" s="49"/>
      <c r="H5" s="19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8.0" customHeight="1">
      <c r="A6" s="57"/>
      <c r="B6" s="58"/>
      <c r="C6" s="59"/>
      <c r="D6" s="60"/>
      <c r="E6" s="61"/>
      <c r="F6" s="61"/>
      <c r="G6" s="62"/>
      <c r="H6" s="202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</row>
    <row r="7" ht="28.5" customHeight="1">
      <c r="A7" s="63" t="s">
        <v>126</v>
      </c>
      <c r="B7" s="64"/>
      <c r="C7" s="65"/>
      <c r="D7" s="60"/>
      <c r="E7" s="61"/>
      <c r="F7" s="61"/>
      <c r="G7" s="62"/>
      <c r="H7" s="202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</row>
    <row r="8" ht="28.5" customHeight="1">
      <c r="A8" s="66" t="s">
        <v>412</v>
      </c>
      <c r="B8" s="64"/>
      <c r="C8" s="65"/>
      <c r="D8" s="60"/>
      <c r="E8" s="61"/>
      <c r="F8" s="61"/>
      <c r="G8" s="62"/>
      <c r="H8" s="202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</row>
    <row r="9" ht="28.5" customHeight="1">
      <c r="A9" s="67"/>
      <c r="B9" s="68" t="s">
        <v>128</v>
      </c>
      <c r="C9" s="203">
        <f>H30</f>
        <v>200</v>
      </c>
      <c r="D9" s="1"/>
      <c r="E9" s="1"/>
      <c r="F9" s="1"/>
      <c r="G9" s="49"/>
      <c r="H9" s="19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8.5" customHeight="1">
      <c r="A10" s="67"/>
      <c r="B10" s="68" t="s">
        <v>129</v>
      </c>
      <c r="C10" s="70">
        <f>(C9/200)*100</f>
        <v>100</v>
      </c>
      <c r="D10" s="1"/>
      <c r="E10" s="1"/>
      <c r="F10" s="1"/>
      <c r="G10" s="49"/>
      <c r="H10" s="20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71"/>
      <c r="B11" s="72"/>
      <c r="C11" s="73"/>
      <c r="D11" s="1"/>
      <c r="E11" s="1"/>
      <c r="F11" s="1"/>
      <c r="G11" s="49"/>
      <c r="H11" s="19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56"/>
      <c r="B12" s="56"/>
      <c r="C12" s="56"/>
      <c r="D12" s="1"/>
      <c r="E12" s="1"/>
      <c r="F12" s="1"/>
      <c r="G12" s="49"/>
      <c r="H12" s="19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74"/>
      <c r="B13" s="74"/>
      <c r="C13" s="74"/>
      <c r="D13" s="74"/>
      <c r="E13" s="173" t="s">
        <v>134</v>
      </c>
      <c r="F13" s="85"/>
      <c r="G13" s="85"/>
      <c r="H13" s="86"/>
      <c r="I13" s="84" t="s">
        <v>135</v>
      </c>
      <c r="J13" s="85"/>
      <c r="K13" s="86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</row>
    <row r="14">
      <c r="A14" s="90" t="s">
        <v>130</v>
      </c>
      <c r="B14" s="174" t="s">
        <v>131</v>
      </c>
      <c r="C14" s="174" t="s">
        <v>132</v>
      </c>
      <c r="D14" s="175" t="s">
        <v>133</v>
      </c>
      <c r="E14" s="90" t="s">
        <v>136</v>
      </c>
      <c r="F14" s="91" t="s">
        <v>137</v>
      </c>
      <c r="G14" s="92" t="s">
        <v>138</v>
      </c>
      <c r="H14" s="205" t="s">
        <v>139</v>
      </c>
      <c r="I14" s="181" t="s">
        <v>140</v>
      </c>
      <c r="J14" s="206" t="s">
        <v>139</v>
      </c>
      <c r="K14" s="207" t="s">
        <v>141</v>
      </c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>
      <c r="A15" s="97" t="s">
        <v>413</v>
      </c>
      <c r="B15" s="185" t="s">
        <v>414</v>
      </c>
      <c r="C15" s="186" t="s">
        <v>415</v>
      </c>
      <c r="D15" s="187" t="s">
        <v>416</v>
      </c>
      <c r="E15" s="101"/>
      <c r="F15" s="102"/>
      <c r="G15" s="103">
        <v>1.0</v>
      </c>
      <c r="H15" s="208">
        <f t="shared" ref="H15:H29" si="1">G15*(200/15)</f>
        <v>13.33333333</v>
      </c>
      <c r="I15" s="105">
        <v>1.0</v>
      </c>
      <c r="J15" s="209">
        <f t="shared" ref="J15:J29" si="2">I15*(200/15)</f>
        <v>13.33333333</v>
      </c>
      <c r="K15" s="18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08"/>
      <c r="B16" s="189" t="s">
        <v>417</v>
      </c>
      <c r="C16" s="186" t="s">
        <v>418</v>
      </c>
      <c r="D16" s="187" t="s">
        <v>416</v>
      </c>
      <c r="E16" s="101"/>
      <c r="F16" s="102"/>
      <c r="G16" s="103">
        <v>1.0</v>
      </c>
      <c r="H16" s="208">
        <f t="shared" si="1"/>
        <v>13.33333333</v>
      </c>
      <c r="I16" s="105">
        <v>1.0</v>
      </c>
      <c r="J16" s="209">
        <f t="shared" si="2"/>
        <v>13.33333333</v>
      </c>
      <c r="K16" s="18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08"/>
      <c r="B17" s="189" t="s">
        <v>419</v>
      </c>
      <c r="C17" s="186" t="s">
        <v>420</v>
      </c>
      <c r="D17" s="187" t="s">
        <v>416</v>
      </c>
      <c r="E17" s="110"/>
      <c r="F17" s="111"/>
      <c r="G17" s="103">
        <v>1.0</v>
      </c>
      <c r="H17" s="208">
        <f t="shared" si="1"/>
        <v>13.33333333</v>
      </c>
      <c r="I17" s="105">
        <v>1.0</v>
      </c>
      <c r="J17" s="209">
        <f t="shared" si="2"/>
        <v>13.33333333</v>
      </c>
      <c r="K17" s="18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12"/>
      <c r="B18" s="189" t="s">
        <v>421</v>
      </c>
      <c r="C18" s="186" t="s">
        <v>422</v>
      </c>
      <c r="D18" s="190" t="s">
        <v>416</v>
      </c>
      <c r="E18" s="110"/>
      <c r="F18" s="111"/>
      <c r="G18" s="103">
        <v>1.0</v>
      </c>
      <c r="H18" s="208">
        <f t="shared" si="1"/>
        <v>13.33333333</v>
      </c>
      <c r="I18" s="105">
        <v>1.0</v>
      </c>
      <c r="J18" s="209">
        <f t="shared" si="2"/>
        <v>13.33333333</v>
      </c>
      <c r="K18" s="18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14"/>
      <c r="B19" s="189" t="s">
        <v>423</v>
      </c>
      <c r="C19" s="186" t="s">
        <v>424</v>
      </c>
      <c r="D19" s="187" t="s">
        <v>416</v>
      </c>
      <c r="E19" s="110"/>
      <c r="F19" s="111"/>
      <c r="G19" s="103">
        <v>1.0</v>
      </c>
      <c r="H19" s="208">
        <f t="shared" si="1"/>
        <v>13.33333333</v>
      </c>
      <c r="I19" s="105">
        <v>1.0</v>
      </c>
      <c r="J19" s="209">
        <f t="shared" si="2"/>
        <v>13.33333333</v>
      </c>
      <c r="K19" s="18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08"/>
      <c r="B20" s="189" t="s">
        <v>425</v>
      </c>
      <c r="C20" s="186" t="s">
        <v>426</v>
      </c>
      <c r="D20" s="187" t="s">
        <v>416</v>
      </c>
      <c r="E20" s="101"/>
      <c r="F20" s="102"/>
      <c r="G20" s="103">
        <v>1.0</v>
      </c>
      <c r="H20" s="208">
        <f t="shared" si="1"/>
        <v>13.33333333</v>
      </c>
      <c r="I20" s="105">
        <v>1.0</v>
      </c>
      <c r="J20" s="209">
        <f t="shared" si="2"/>
        <v>13.33333333</v>
      </c>
      <c r="K20" s="18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15"/>
      <c r="B21" s="189" t="s">
        <v>427</v>
      </c>
      <c r="C21" s="186" t="s">
        <v>428</v>
      </c>
      <c r="D21" s="187" t="s">
        <v>416</v>
      </c>
      <c r="E21" s="101"/>
      <c r="F21" s="102"/>
      <c r="G21" s="103">
        <v>1.0</v>
      </c>
      <c r="H21" s="208">
        <f t="shared" si="1"/>
        <v>13.33333333</v>
      </c>
      <c r="I21" s="105">
        <v>1.0</v>
      </c>
      <c r="J21" s="209">
        <f t="shared" si="2"/>
        <v>13.33333333</v>
      </c>
      <c r="K21" s="18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15"/>
      <c r="B22" s="189" t="s">
        <v>429</v>
      </c>
      <c r="C22" s="186" t="s">
        <v>430</v>
      </c>
      <c r="D22" s="187" t="s">
        <v>416</v>
      </c>
      <c r="E22" s="101"/>
      <c r="F22" s="102"/>
      <c r="G22" s="103">
        <v>1.0</v>
      </c>
      <c r="H22" s="208">
        <f t="shared" si="1"/>
        <v>13.33333333</v>
      </c>
      <c r="I22" s="105">
        <v>1.0</v>
      </c>
      <c r="J22" s="209">
        <f t="shared" si="2"/>
        <v>13.33333333</v>
      </c>
      <c r="K22" s="18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08"/>
      <c r="B23" s="189" t="s">
        <v>431</v>
      </c>
      <c r="C23" s="186" t="s">
        <v>432</v>
      </c>
      <c r="D23" s="187" t="s">
        <v>416</v>
      </c>
      <c r="E23" s="101"/>
      <c r="F23" s="102"/>
      <c r="G23" s="103">
        <v>1.0</v>
      </c>
      <c r="H23" s="208">
        <f t="shared" si="1"/>
        <v>13.33333333</v>
      </c>
      <c r="I23" s="105">
        <v>1.0</v>
      </c>
      <c r="J23" s="209">
        <f t="shared" si="2"/>
        <v>13.33333333</v>
      </c>
      <c r="K23" s="18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08"/>
      <c r="B24" s="189" t="s">
        <v>433</v>
      </c>
      <c r="C24" s="186" t="s">
        <v>434</v>
      </c>
      <c r="D24" s="187" t="s">
        <v>416</v>
      </c>
      <c r="E24" s="101"/>
      <c r="F24" s="102"/>
      <c r="G24" s="103">
        <v>1.0</v>
      </c>
      <c r="H24" s="208">
        <f t="shared" si="1"/>
        <v>13.33333333</v>
      </c>
      <c r="I24" s="105">
        <v>1.0</v>
      </c>
      <c r="J24" s="209">
        <f t="shared" si="2"/>
        <v>13.33333333</v>
      </c>
      <c r="K24" s="18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08"/>
      <c r="B25" s="189" t="s">
        <v>435</v>
      </c>
      <c r="C25" s="186" t="s">
        <v>436</v>
      </c>
      <c r="D25" s="187" t="s">
        <v>416</v>
      </c>
      <c r="E25" s="101"/>
      <c r="F25" s="102"/>
      <c r="G25" s="103">
        <v>1.0</v>
      </c>
      <c r="H25" s="208">
        <f t="shared" si="1"/>
        <v>13.33333333</v>
      </c>
      <c r="I25" s="105">
        <v>1.0</v>
      </c>
      <c r="J25" s="209">
        <f t="shared" si="2"/>
        <v>13.33333333</v>
      </c>
      <c r="K25" s="18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08"/>
      <c r="B26" s="189" t="s">
        <v>437</v>
      </c>
      <c r="C26" s="186" t="s">
        <v>438</v>
      </c>
      <c r="D26" s="187" t="s">
        <v>416</v>
      </c>
      <c r="E26" s="101"/>
      <c r="F26" s="102"/>
      <c r="G26" s="103">
        <v>1.0</v>
      </c>
      <c r="H26" s="208">
        <f t="shared" si="1"/>
        <v>13.33333333</v>
      </c>
      <c r="I26" s="105">
        <v>1.0</v>
      </c>
      <c r="J26" s="209">
        <f t="shared" si="2"/>
        <v>13.33333333</v>
      </c>
      <c r="K26" s="18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08"/>
      <c r="B27" s="189" t="s">
        <v>439</v>
      </c>
      <c r="C27" s="186" t="s">
        <v>440</v>
      </c>
      <c r="D27" s="187" t="s">
        <v>416</v>
      </c>
      <c r="E27" s="101"/>
      <c r="F27" s="102"/>
      <c r="G27" s="103">
        <v>1.0</v>
      </c>
      <c r="H27" s="208">
        <f t="shared" si="1"/>
        <v>13.33333333</v>
      </c>
      <c r="I27" s="105">
        <v>1.0</v>
      </c>
      <c r="J27" s="209">
        <f t="shared" si="2"/>
        <v>13.33333333</v>
      </c>
      <c r="K27" s="18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08"/>
      <c r="B28" s="189" t="s">
        <v>441</v>
      </c>
      <c r="C28" s="186" t="s">
        <v>442</v>
      </c>
      <c r="D28" s="187" t="s">
        <v>416</v>
      </c>
      <c r="E28" s="101"/>
      <c r="F28" s="102"/>
      <c r="G28" s="103">
        <v>1.0</v>
      </c>
      <c r="H28" s="208">
        <f t="shared" si="1"/>
        <v>13.33333333</v>
      </c>
      <c r="I28" s="105">
        <v>1.0</v>
      </c>
      <c r="J28" s="209">
        <f t="shared" si="2"/>
        <v>13.33333333</v>
      </c>
      <c r="K28" s="18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16"/>
      <c r="B29" s="191" t="s">
        <v>443</v>
      </c>
      <c r="C29" s="192" t="s">
        <v>444</v>
      </c>
      <c r="D29" s="193" t="s">
        <v>416</v>
      </c>
      <c r="E29" s="120"/>
      <c r="F29" s="121"/>
      <c r="G29" s="122">
        <v>1.0</v>
      </c>
      <c r="H29" s="210">
        <f t="shared" si="1"/>
        <v>13.33333333</v>
      </c>
      <c r="I29" s="124">
        <v>1.0</v>
      </c>
      <c r="J29" s="211">
        <f t="shared" si="2"/>
        <v>13.33333333</v>
      </c>
      <c r="K29" s="19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56"/>
      <c r="B30" s="56"/>
      <c r="C30" s="56"/>
      <c r="D30" s="127" t="s">
        <v>181</v>
      </c>
      <c r="E30" s="1"/>
      <c r="F30" s="1"/>
      <c r="G30" s="195">
        <f t="shared" ref="G30:J30" si="3">SUM(G15:G29)</f>
        <v>15</v>
      </c>
      <c r="H30" s="212">
        <f t="shared" si="3"/>
        <v>200</v>
      </c>
      <c r="I30" s="128">
        <f t="shared" si="3"/>
        <v>15</v>
      </c>
      <c r="J30" s="213">
        <f t="shared" si="3"/>
        <v>200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H31" s="214"/>
    </row>
    <row r="32">
      <c r="H32" s="214"/>
    </row>
    <row r="33">
      <c r="H33" s="214"/>
    </row>
    <row r="34">
      <c r="H34" s="214"/>
    </row>
    <row r="35">
      <c r="H35" s="214"/>
    </row>
    <row r="36">
      <c r="H36" s="214"/>
    </row>
    <row r="37">
      <c r="H37" s="214"/>
    </row>
    <row r="38">
      <c r="A38" s="56"/>
      <c r="B38" s="56"/>
      <c r="C38" s="56"/>
      <c r="D38" s="1"/>
      <c r="E38" s="1"/>
      <c r="F38" s="1"/>
      <c r="G38" s="49"/>
      <c r="H38" s="19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56"/>
      <c r="B39" s="56"/>
      <c r="C39" s="56"/>
      <c r="D39" s="1"/>
      <c r="E39" s="1"/>
      <c r="F39" s="1"/>
      <c r="G39" s="49"/>
      <c r="H39" s="19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56"/>
      <c r="B40" s="56"/>
      <c r="C40" s="56"/>
      <c r="D40" s="1"/>
      <c r="E40" s="1"/>
      <c r="F40" s="1"/>
      <c r="G40" s="49"/>
      <c r="H40" s="19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56"/>
      <c r="B41" s="56"/>
      <c r="C41" s="56"/>
      <c r="D41" s="1"/>
      <c r="E41" s="1"/>
      <c r="F41" s="1"/>
      <c r="G41" s="49"/>
      <c r="H41" s="19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56"/>
      <c r="B42" s="56"/>
      <c r="C42" s="56"/>
      <c r="D42" s="1"/>
      <c r="E42" s="1"/>
      <c r="F42" s="1"/>
      <c r="G42" s="49"/>
      <c r="H42" s="19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56"/>
      <c r="B43" s="56"/>
      <c r="C43" s="56"/>
      <c r="D43" s="1"/>
      <c r="E43" s="1"/>
      <c r="F43" s="1"/>
      <c r="G43" s="49"/>
      <c r="H43" s="19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56"/>
      <c r="B44" s="56"/>
      <c r="C44" s="56"/>
      <c r="E44" s="1"/>
      <c r="F44" s="1"/>
      <c r="G44" s="49"/>
      <c r="H44" s="19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56"/>
      <c r="B45" s="56"/>
      <c r="C45" s="56"/>
      <c r="D45" s="1"/>
      <c r="E45" s="1"/>
      <c r="F45" s="1"/>
      <c r="G45" s="49"/>
      <c r="H45" s="19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56"/>
      <c r="B46" s="56"/>
      <c r="C46" s="56"/>
      <c r="D46" s="1"/>
      <c r="E46" s="1"/>
      <c r="F46" s="1"/>
      <c r="G46" s="49"/>
      <c r="H46" s="19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56"/>
      <c r="B47" s="56"/>
      <c r="C47" s="56"/>
      <c r="D47" s="1"/>
      <c r="E47" s="1"/>
      <c r="F47" s="1"/>
      <c r="G47" s="49"/>
      <c r="H47" s="19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56"/>
      <c r="B48" s="56"/>
      <c r="C48" s="56"/>
      <c r="D48" s="1"/>
      <c r="E48" s="1"/>
      <c r="F48" s="1"/>
      <c r="G48" s="49"/>
      <c r="H48" s="19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56"/>
      <c r="B49" s="56"/>
      <c r="C49" s="56"/>
      <c r="D49" s="1"/>
      <c r="E49" s="1"/>
      <c r="F49" s="1"/>
      <c r="G49" s="49"/>
      <c r="H49" s="19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56"/>
      <c r="B50" s="56"/>
      <c r="C50" s="56"/>
      <c r="D50" s="1"/>
      <c r="E50" s="1"/>
      <c r="F50" s="1"/>
      <c r="G50" s="49"/>
      <c r="H50" s="19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56"/>
      <c r="B51" s="56"/>
      <c r="C51" s="56"/>
      <c r="D51" s="1"/>
      <c r="E51" s="1"/>
      <c r="F51" s="1"/>
      <c r="G51" s="49"/>
      <c r="H51" s="19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56"/>
      <c r="B52" s="56"/>
      <c r="C52" s="56"/>
      <c r="D52" s="1"/>
      <c r="E52" s="1"/>
      <c r="F52" s="1"/>
      <c r="G52" s="49"/>
      <c r="H52" s="19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56"/>
      <c r="B53" s="56"/>
      <c r="C53" s="56"/>
      <c r="D53" s="1"/>
      <c r="E53" s="1"/>
      <c r="F53" s="1"/>
      <c r="G53" s="49"/>
      <c r="H53" s="19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56"/>
      <c r="B54" s="56"/>
      <c r="C54" s="56"/>
      <c r="D54" s="1"/>
      <c r="E54" s="1"/>
      <c r="F54" s="1"/>
      <c r="G54" s="49"/>
      <c r="H54" s="19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56"/>
      <c r="B55" s="56"/>
      <c r="C55" s="56"/>
      <c r="D55" s="1"/>
      <c r="E55" s="1"/>
      <c r="F55" s="1"/>
      <c r="G55" s="49"/>
      <c r="H55" s="19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56"/>
      <c r="B56" s="56"/>
      <c r="C56" s="56"/>
      <c r="D56" s="1"/>
      <c r="E56" s="1"/>
      <c r="F56" s="1"/>
      <c r="G56" s="49"/>
      <c r="H56" s="19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56"/>
      <c r="B57" s="56"/>
      <c r="C57" s="56"/>
      <c r="D57" s="1"/>
      <c r="E57" s="1"/>
      <c r="F57" s="1"/>
      <c r="G57" s="49"/>
      <c r="H57" s="19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56"/>
      <c r="B58" s="56"/>
      <c r="C58" s="56"/>
      <c r="D58" s="1"/>
      <c r="E58" s="1"/>
      <c r="F58" s="1"/>
      <c r="G58" s="49"/>
      <c r="H58" s="19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56"/>
      <c r="B59" s="56"/>
      <c r="C59" s="56"/>
      <c r="D59" s="1"/>
      <c r="E59" s="1"/>
      <c r="F59" s="1"/>
      <c r="G59" s="49"/>
      <c r="H59" s="19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56"/>
      <c r="B60" s="56"/>
      <c r="C60" s="56"/>
      <c r="D60" s="1"/>
      <c r="E60" s="1"/>
      <c r="F60" s="1"/>
      <c r="G60" s="49"/>
      <c r="H60" s="19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56"/>
      <c r="B61" s="56"/>
      <c r="C61" s="56"/>
      <c r="D61" s="1"/>
      <c r="E61" s="1"/>
      <c r="F61" s="1"/>
      <c r="G61" s="49"/>
      <c r="H61" s="19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56"/>
      <c r="B62" s="56"/>
      <c r="C62" s="56"/>
      <c r="D62" s="1"/>
      <c r="E62" s="1"/>
      <c r="F62" s="1"/>
      <c r="G62" s="49"/>
      <c r="H62" s="19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56"/>
      <c r="B63" s="56"/>
      <c r="C63" s="56"/>
      <c r="D63" s="1"/>
      <c r="E63" s="1"/>
      <c r="F63" s="1"/>
      <c r="G63" s="49"/>
      <c r="H63" s="19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56"/>
      <c r="B64" s="56"/>
      <c r="C64" s="56"/>
      <c r="D64" s="1"/>
      <c r="E64" s="1"/>
      <c r="F64" s="1"/>
      <c r="G64" s="49"/>
      <c r="H64" s="19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56"/>
      <c r="B65" s="56"/>
      <c r="C65" s="56"/>
      <c r="D65" s="1"/>
      <c r="E65" s="1"/>
      <c r="F65" s="1"/>
      <c r="G65" s="49"/>
      <c r="H65" s="19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56"/>
      <c r="B66" s="56"/>
      <c r="C66" s="56"/>
      <c r="D66" s="1"/>
      <c r="E66" s="1"/>
      <c r="F66" s="1"/>
      <c r="G66" s="49"/>
      <c r="H66" s="19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56"/>
      <c r="B67" s="56"/>
      <c r="C67" s="56"/>
      <c r="D67" s="1"/>
      <c r="E67" s="1"/>
      <c r="F67" s="1"/>
      <c r="G67" s="49"/>
      <c r="H67" s="19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56"/>
      <c r="B68" s="56"/>
      <c r="C68" s="56"/>
      <c r="D68" s="1"/>
      <c r="E68" s="1"/>
      <c r="F68" s="1"/>
      <c r="G68" s="49"/>
      <c r="H68" s="19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56"/>
      <c r="B69" s="56"/>
      <c r="C69" s="56"/>
      <c r="D69" s="1"/>
      <c r="E69" s="1"/>
      <c r="F69" s="1"/>
      <c r="G69" s="49"/>
      <c r="H69" s="19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56"/>
      <c r="B70" s="56"/>
      <c r="C70" s="56"/>
      <c r="D70" s="1"/>
      <c r="E70" s="1"/>
      <c r="F70" s="1"/>
      <c r="G70" s="49"/>
      <c r="H70" s="19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56"/>
      <c r="B71" s="56"/>
      <c r="C71" s="56"/>
      <c r="D71" s="1"/>
      <c r="E71" s="1"/>
      <c r="F71" s="1"/>
      <c r="G71" s="49"/>
      <c r="H71" s="19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56"/>
      <c r="B72" s="56"/>
      <c r="C72" s="56"/>
      <c r="D72" s="1"/>
      <c r="E72" s="1"/>
      <c r="F72" s="1"/>
      <c r="G72" s="49"/>
      <c r="H72" s="19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56"/>
      <c r="B73" s="56"/>
      <c r="C73" s="56"/>
      <c r="D73" s="1"/>
      <c r="E73" s="1"/>
      <c r="F73" s="1"/>
      <c r="G73" s="49"/>
      <c r="H73" s="19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56"/>
      <c r="B74" s="56"/>
      <c r="C74" s="56"/>
      <c r="D74" s="1"/>
      <c r="E74" s="1"/>
      <c r="F74" s="1"/>
      <c r="G74" s="49"/>
      <c r="H74" s="19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56"/>
      <c r="B75" s="56"/>
      <c r="C75" s="56"/>
      <c r="D75" s="1"/>
      <c r="E75" s="1"/>
      <c r="F75" s="1"/>
      <c r="G75" s="49"/>
      <c r="H75" s="19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56"/>
      <c r="B76" s="56"/>
      <c r="C76" s="56"/>
      <c r="D76" s="1"/>
      <c r="E76" s="1"/>
      <c r="F76" s="1"/>
      <c r="G76" s="49"/>
      <c r="H76" s="19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56"/>
      <c r="B77" s="56"/>
      <c r="C77" s="56"/>
      <c r="D77" s="1"/>
      <c r="E77" s="1"/>
      <c r="F77" s="1"/>
      <c r="G77" s="49"/>
      <c r="H77" s="19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56"/>
      <c r="B78" s="56"/>
      <c r="C78" s="56"/>
      <c r="D78" s="1"/>
      <c r="E78" s="1"/>
      <c r="F78" s="1"/>
      <c r="G78" s="49"/>
      <c r="H78" s="19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56"/>
      <c r="B79" s="56"/>
      <c r="C79" s="56"/>
      <c r="D79" s="1"/>
      <c r="E79" s="1"/>
      <c r="F79" s="1"/>
      <c r="G79" s="49"/>
      <c r="H79" s="19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56"/>
      <c r="B80" s="56"/>
      <c r="C80" s="56"/>
      <c r="D80" s="1"/>
      <c r="E80" s="1"/>
      <c r="F80" s="1"/>
      <c r="G80" s="49"/>
      <c r="H80" s="19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56"/>
      <c r="B81" s="56"/>
      <c r="C81" s="56"/>
      <c r="D81" s="1"/>
      <c r="E81" s="1"/>
      <c r="F81" s="1"/>
      <c r="G81" s="49"/>
      <c r="H81" s="19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56"/>
      <c r="B82" s="56"/>
      <c r="C82" s="56"/>
      <c r="D82" s="1"/>
      <c r="E82" s="1"/>
      <c r="F82" s="1"/>
      <c r="G82" s="49"/>
      <c r="H82" s="19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56"/>
      <c r="B83" s="56"/>
      <c r="C83" s="56"/>
      <c r="D83" s="1"/>
      <c r="E83" s="1"/>
      <c r="F83" s="1"/>
      <c r="G83" s="49"/>
      <c r="H83" s="19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56"/>
      <c r="B84" s="56"/>
      <c r="C84" s="56"/>
      <c r="D84" s="1"/>
      <c r="E84" s="1"/>
      <c r="F84" s="1"/>
      <c r="G84" s="49"/>
      <c r="H84" s="19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56"/>
      <c r="B85" s="56"/>
      <c r="C85" s="56"/>
      <c r="D85" s="1"/>
      <c r="E85" s="1"/>
      <c r="F85" s="1"/>
      <c r="G85" s="49"/>
      <c r="H85" s="19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56"/>
      <c r="B86" s="56"/>
      <c r="C86" s="56"/>
      <c r="D86" s="1"/>
      <c r="E86" s="1"/>
      <c r="F86" s="1"/>
      <c r="G86" s="49"/>
      <c r="H86" s="19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56"/>
      <c r="B87" s="56"/>
      <c r="C87" s="56"/>
      <c r="D87" s="1"/>
      <c r="E87" s="1"/>
      <c r="F87" s="1"/>
      <c r="G87" s="49"/>
      <c r="H87" s="19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56"/>
      <c r="B88" s="56"/>
      <c r="C88" s="56"/>
      <c r="D88" s="1"/>
      <c r="E88" s="1"/>
      <c r="F88" s="1"/>
      <c r="G88" s="49"/>
      <c r="H88" s="19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56"/>
      <c r="B89" s="56"/>
      <c r="C89" s="56"/>
      <c r="D89" s="1"/>
      <c r="E89" s="1"/>
      <c r="F89" s="1"/>
      <c r="G89" s="49"/>
      <c r="H89" s="19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56"/>
      <c r="B90" s="56"/>
      <c r="C90" s="56"/>
      <c r="D90" s="1"/>
      <c r="E90" s="1"/>
      <c r="F90" s="1"/>
      <c r="G90" s="49"/>
      <c r="H90" s="19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56"/>
      <c r="B91" s="56"/>
      <c r="C91" s="56"/>
      <c r="D91" s="1"/>
      <c r="E91" s="1"/>
      <c r="F91" s="1"/>
      <c r="G91" s="49"/>
      <c r="H91" s="19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56"/>
      <c r="B92" s="56"/>
      <c r="C92" s="56"/>
      <c r="D92" s="1"/>
      <c r="E92" s="1"/>
      <c r="F92" s="1"/>
      <c r="G92" s="49"/>
      <c r="H92" s="19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56"/>
      <c r="B93" s="56"/>
      <c r="C93" s="56"/>
      <c r="D93" s="1"/>
      <c r="E93" s="1"/>
      <c r="F93" s="1"/>
      <c r="G93" s="49"/>
      <c r="H93" s="19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56"/>
      <c r="B94" s="56"/>
      <c r="C94" s="56"/>
      <c r="D94" s="1"/>
      <c r="E94" s="1"/>
      <c r="F94" s="1"/>
      <c r="G94" s="49"/>
      <c r="H94" s="19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56"/>
      <c r="B95" s="56"/>
      <c r="C95" s="56"/>
      <c r="D95" s="1"/>
      <c r="E95" s="1"/>
      <c r="F95" s="1"/>
      <c r="G95" s="49"/>
      <c r="H95" s="19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56"/>
      <c r="B96" s="56"/>
      <c r="C96" s="56"/>
      <c r="D96" s="1"/>
      <c r="E96" s="1"/>
      <c r="F96" s="1"/>
      <c r="G96" s="49"/>
      <c r="H96" s="19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56"/>
      <c r="B97" s="56"/>
      <c r="C97" s="56"/>
      <c r="D97" s="1"/>
      <c r="E97" s="1"/>
      <c r="F97" s="1"/>
      <c r="G97" s="49"/>
      <c r="H97" s="19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56"/>
      <c r="B98" s="56"/>
      <c r="C98" s="56"/>
      <c r="D98" s="1"/>
      <c r="E98" s="1"/>
      <c r="F98" s="1"/>
      <c r="G98" s="49"/>
      <c r="H98" s="19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56"/>
      <c r="B99" s="56"/>
      <c r="C99" s="56"/>
      <c r="D99" s="1"/>
      <c r="E99" s="1"/>
      <c r="F99" s="1"/>
      <c r="G99" s="49"/>
      <c r="H99" s="19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56"/>
      <c r="B100" s="56"/>
      <c r="C100" s="56"/>
      <c r="D100" s="1"/>
      <c r="E100" s="1"/>
      <c r="F100" s="1"/>
      <c r="G100" s="49"/>
      <c r="H100" s="19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56"/>
      <c r="B101" s="56"/>
      <c r="C101" s="56"/>
      <c r="D101" s="1"/>
      <c r="E101" s="1"/>
      <c r="F101" s="1"/>
      <c r="G101" s="49"/>
      <c r="H101" s="19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56"/>
      <c r="B102" s="56"/>
      <c r="C102" s="56"/>
      <c r="D102" s="1"/>
      <c r="E102" s="1"/>
      <c r="F102" s="1"/>
      <c r="G102" s="49"/>
      <c r="H102" s="19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56"/>
      <c r="B103" s="56"/>
      <c r="C103" s="56"/>
      <c r="D103" s="1"/>
      <c r="E103" s="1"/>
      <c r="F103" s="1"/>
      <c r="G103" s="49"/>
      <c r="H103" s="19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56"/>
      <c r="B104" s="56"/>
      <c r="C104" s="56"/>
      <c r="D104" s="1"/>
      <c r="E104" s="1"/>
      <c r="F104" s="1"/>
      <c r="G104" s="49"/>
      <c r="H104" s="19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56"/>
      <c r="B105" s="56"/>
      <c r="C105" s="56"/>
      <c r="D105" s="1"/>
      <c r="E105" s="1"/>
      <c r="F105" s="1"/>
      <c r="G105" s="49"/>
      <c r="H105" s="19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56"/>
      <c r="B106" s="56"/>
      <c r="C106" s="56"/>
      <c r="D106" s="1"/>
      <c r="E106" s="1"/>
      <c r="F106" s="1"/>
      <c r="G106" s="49"/>
      <c r="H106" s="19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56"/>
      <c r="B107" s="56"/>
      <c r="C107" s="56"/>
      <c r="D107" s="1"/>
      <c r="E107" s="1"/>
      <c r="F107" s="1"/>
      <c r="G107" s="49"/>
      <c r="H107" s="19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56"/>
      <c r="B108" s="56"/>
      <c r="C108" s="56"/>
      <c r="D108" s="1"/>
      <c r="E108" s="1"/>
      <c r="F108" s="1"/>
      <c r="G108" s="49"/>
      <c r="H108" s="19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56"/>
      <c r="B109" s="56"/>
      <c r="C109" s="56"/>
      <c r="D109" s="1"/>
      <c r="E109" s="1"/>
      <c r="F109" s="1"/>
      <c r="G109" s="49"/>
      <c r="H109" s="19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56"/>
      <c r="B110" s="56"/>
      <c r="C110" s="56"/>
      <c r="D110" s="1"/>
      <c r="E110" s="1"/>
      <c r="F110" s="1"/>
      <c r="G110" s="49"/>
      <c r="H110" s="19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56"/>
      <c r="B111" s="56"/>
      <c r="C111" s="56"/>
      <c r="D111" s="1"/>
      <c r="E111" s="1"/>
      <c r="F111" s="1"/>
      <c r="G111" s="49"/>
      <c r="H111" s="19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56"/>
      <c r="B112" s="56"/>
      <c r="C112" s="56"/>
      <c r="D112" s="1"/>
      <c r="E112" s="1"/>
      <c r="F112" s="1"/>
      <c r="G112" s="49"/>
      <c r="H112" s="19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56"/>
      <c r="B113" s="56"/>
      <c r="C113" s="56"/>
      <c r="D113" s="1"/>
      <c r="E113" s="1"/>
      <c r="F113" s="1"/>
      <c r="G113" s="49"/>
      <c r="H113" s="19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56"/>
      <c r="B114" s="56"/>
      <c r="C114" s="56"/>
      <c r="D114" s="1"/>
      <c r="E114" s="1"/>
      <c r="F114" s="1"/>
      <c r="G114" s="49"/>
      <c r="H114" s="19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56"/>
      <c r="B115" s="56"/>
      <c r="C115" s="56"/>
      <c r="D115" s="1"/>
      <c r="E115" s="1"/>
      <c r="F115" s="1"/>
      <c r="G115" s="49"/>
      <c r="H115" s="19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56"/>
      <c r="B116" s="56"/>
      <c r="C116" s="56"/>
      <c r="D116" s="1"/>
      <c r="E116" s="1"/>
      <c r="F116" s="1"/>
      <c r="G116" s="49"/>
      <c r="H116" s="19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56"/>
      <c r="B117" s="56"/>
      <c r="C117" s="56"/>
      <c r="D117" s="1"/>
      <c r="E117" s="1"/>
      <c r="F117" s="1"/>
      <c r="G117" s="49"/>
      <c r="H117" s="19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56"/>
      <c r="B118" s="56"/>
      <c r="C118" s="56"/>
      <c r="D118" s="1"/>
      <c r="E118" s="1"/>
      <c r="F118" s="1"/>
      <c r="G118" s="49"/>
      <c r="H118" s="19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56"/>
      <c r="B119" s="56"/>
      <c r="C119" s="56"/>
      <c r="D119" s="1"/>
      <c r="E119" s="1"/>
      <c r="F119" s="1"/>
      <c r="G119" s="49"/>
      <c r="H119" s="19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56"/>
      <c r="B120" s="56"/>
      <c r="C120" s="56"/>
      <c r="D120" s="1"/>
      <c r="E120" s="1"/>
      <c r="F120" s="1"/>
      <c r="G120" s="49"/>
      <c r="H120" s="19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56"/>
      <c r="B121" s="56"/>
      <c r="C121" s="56"/>
      <c r="D121" s="1"/>
      <c r="E121" s="1"/>
      <c r="F121" s="1"/>
      <c r="G121" s="49"/>
      <c r="H121" s="19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56"/>
      <c r="B122" s="56"/>
      <c r="C122" s="56"/>
      <c r="D122" s="1"/>
      <c r="E122" s="1"/>
      <c r="F122" s="1"/>
      <c r="G122" s="49"/>
      <c r="H122" s="19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56"/>
      <c r="B123" s="56"/>
      <c r="C123" s="56"/>
      <c r="D123" s="1"/>
      <c r="E123" s="1"/>
      <c r="F123" s="1"/>
      <c r="G123" s="49"/>
      <c r="H123" s="19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56"/>
      <c r="B124" s="56"/>
      <c r="C124" s="56"/>
      <c r="D124" s="1"/>
      <c r="E124" s="1"/>
      <c r="F124" s="1"/>
      <c r="G124" s="49"/>
      <c r="H124" s="19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56"/>
      <c r="B125" s="56"/>
      <c r="C125" s="56"/>
      <c r="D125" s="1"/>
      <c r="E125" s="1"/>
      <c r="F125" s="1"/>
      <c r="G125" s="49"/>
      <c r="H125" s="19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56"/>
      <c r="B126" s="56"/>
      <c r="C126" s="56"/>
      <c r="D126" s="1"/>
      <c r="E126" s="1"/>
      <c r="F126" s="1"/>
      <c r="G126" s="49"/>
      <c r="H126" s="19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56"/>
      <c r="B127" s="56"/>
      <c r="C127" s="56"/>
      <c r="D127" s="1"/>
      <c r="E127" s="1"/>
      <c r="F127" s="1"/>
      <c r="G127" s="49"/>
      <c r="H127" s="19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56"/>
      <c r="B128" s="56"/>
      <c r="C128" s="56"/>
      <c r="D128" s="1"/>
      <c r="E128" s="1"/>
      <c r="F128" s="1"/>
      <c r="G128" s="49"/>
      <c r="H128" s="19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56"/>
      <c r="B129" s="56"/>
      <c r="C129" s="56"/>
      <c r="D129" s="1"/>
      <c r="E129" s="1"/>
      <c r="F129" s="1"/>
      <c r="G129" s="49"/>
      <c r="H129" s="19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56"/>
      <c r="B130" s="56"/>
      <c r="C130" s="56"/>
      <c r="D130" s="1"/>
      <c r="E130" s="1"/>
      <c r="F130" s="1"/>
      <c r="G130" s="49"/>
      <c r="H130" s="19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56"/>
      <c r="B131" s="56"/>
      <c r="C131" s="56"/>
      <c r="D131" s="1"/>
      <c r="E131" s="1"/>
      <c r="F131" s="1"/>
      <c r="G131" s="49"/>
      <c r="H131" s="19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56"/>
      <c r="B132" s="56"/>
      <c r="C132" s="56"/>
      <c r="D132" s="1"/>
      <c r="E132" s="1"/>
      <c r="F132" s="1"/>
      <c r="G132" s="49"/>
      <c r="H132" s="19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56"/>
      <c r="B133" s="56"/>
      <c r="C133" s="56"/>
      <c r="D133" s="1"/>
      <c r="E133" s="1"/>
      <c r="F133" s="1"/>
      <c r="G133" s="49"/>
      <c r="H133" s="19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56"/>
      <c r="B134" s="56"/>
      <c r="C134" s="56"/>
      <c r="D134" s="1"/>
      <c r="E134" s="1"/>
      <c r="F134" s="1"/>
      <c r="G134" s="49"/>
      <c r="H134" s="19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56"/>
      <c r="B135" s="56"/>
      <c r="C135" s="56"/>
      <c r="D135" s="1"/>
      <c r="E135" s="1"/>
      <c r="F135" s="1"/>
      <c r="G135" s="49"/>
      <c r="H135" s="19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56"/>
      <c r="B136" s="56"/>
      <c r="C136" s="56"/>
      <c r="D136" s="1"/>
      <c r="E136" s="1"/>
      <c r="F136" s="1"/>
      <c r="G136" s="49"/>
      <c r="H136" s="19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56"/>
      <c r="B137" s="56"/>
      <c r="C137" s="56"/>
      <c r="D137" s="1"/>
      <c r="E137" s="1"/>
      <c r="F137" s="1"/>
      <c r="G137" s="49"/>
      <c r="H137" s="19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56"/>
      <c r="B138" s="56"/>
      <c r="C138" s="56"/>
      <c r="D138" s="1"/>
      <c r="E138" s="1"/>
      <c r="F138" s="1"/>
      <c r="G138" s="49"/>
      <c r="H138" s="19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56"/>
      <c r="B139" s="56"/>
      <c r="C139" s="56"/>
      <c r="D139" s="1"/>
      <c r="E139" s="1"/>
      <c r="F139" s="1"/>
      <c r="G139" s="49"/>
      <c r="H139" s="19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56"/>
      <c r="B140" s="56"/>
      <c r="C140" s="56"/>
      <c r="D140" s="1"/>
      <c r="E140" s="1"/>
      <c r="F140" s="1"/>
      <c r="G140" s="49"/>
      <c r="H140" s="19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56"/>
      <c r="B141" s="56"/>
      <c r="C141" s="56"/>
      <c r="D141" s="1"/>
      <c r="E141" s="1"/>
      <c r="F141" s="1"/>
      <c r="G141" s="49"/>
      <c r="H141" s="19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56"/>
      <c r="B142" s="56"/>
      <c r="C142" s="56"/>
      <c r="D142" s="1"/>
      <c r="E142" s="1"/>
      <c r="F142" s="1"/>
      <c r="G142" s="49"/>
      <c r="H142" s="19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56"/>
      <c r="B143" s="56"/>
      <c r="C143" s="56"/>
      <c r="D143" s="1"/>
      <c r="E143" s="1"/>
      <c r="F143" s="1"/>
      <c r="G143" s="49"/>
      <c r="H143" s="19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56"/>
      <c r="B144" s="56"/>
      <c r="C144" s="56"/>
      <c r="D144" s="1"/>
      <c r="E144" s="1"/>
      <c r="F144" s="1"/>
      <c r="G144" s="49"/>
      <c r="H144" s="19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56"/>
      <c r="B145" s="56"/>
      <c r="C145" s="56"/>
      <c r="D145" s="1"/>
      <c r="E145" s="1"/>
      <c r="F145" s="1"/>
      <c r="G145" s="49"/>
      <c r="H145" s="19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56"/>
      <c r="B146" s="56"/>
      <c r="C146" s="56"/>
      <c r="D146" s="1"/>
      <c r="E146" s="1"/>
      <c r="F146" s="1"/>
      <c r="G146" s="49"/>
      <c r="H146" s="19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56"/>
      <c r="B147" s="56"/>
      <c r="C147" s="56"/>
      <c r="D147" s="1"/>
      <c r="E147" s="1"/>
      <c r="F147" s="1"/>
      <c r="G147" s="49"/>
      <c r="H147" s="19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56"/>
      <c r="B148" s="56"/>
      <c r="C148" s="56"/>
      <c r="D148" s="1"/>
      <c r="E148" s="1"/>
      <c r="F148" s="1"/>
      <c r="G148" s="49"/>
      <c r="H148" s="19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56"/>
      <c r="B149" s="56"/>
      <c r="C149" s="56"/>
      <c r="D149" s="1"/>
      <c r="E149" s="1"/>
      <c r="F149" s="1"/>
      <c r="G149" s="49"/>
      <c r="H149" s="19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56"/>
      <c r="B150" s="56"/>
      <c r="C150" s="56"/>
      <c r="D150" s="1"/>
      <c r="E150" s="1"/>
      <c r="F150" s="1"/>
      <c r="G150" s="49"/>
      <c r="H150" s="19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56"/>
      <c r="B151" s="56"/>
      <c r="C151" s="56"/>
      <c r="D151" s="1"/>
      <c r="E151" s="1"/>
      <c r="F151" s="1"/>
      <c r="G151" s="49"/>
      <c r="H151" s="19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56"/>
      <c r="B152" s="56"/>
      <c r="C152" s="56"/>
      <c r="D152" s="1"/>
      <c r="E152" s="1"/>
      <c r="F152" s="1"/>
      <c r="G152" s="49"/>
      <c r="H152" s="19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56"/>
      <c r="B153" s="56"/>
      <c r="C153" s="56"/>
      <c r="D153" s="1"/>
      <c r="E153" s="1"/>
      <c r="F153" s="1"/>
      <c r="G153" s="49"/>
      <c r="H153" s="19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56"/>
      <c r="B154" s="56"/>
      <c r="C154" s="56"/>
      <c r="D154" s="1"/>
      <c r="E154" s="1"/>
      <c r="F154" s="1"/>
      <c r="G154" s="49"/>
      <c r="H154" s="19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56"/>
      <c r="B155" s="56"/>
      <c r="C155" s="56"/>
      <c r="D155" s="1"/>
      <c r="E155" s="1"/>
      <c r="F155" s="1"/>
      <c r="G155" s="49"/>
      <c r="H155" s="19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56"/>
      <c r="B156" s="56"/>
      <c r="C156" s="56"/>
      <c r="D156" s="1"/>
      <c r="E156" s="1"/>
      <c r="F156" s="1"/>
      <c r="G156" s="49"/>
      <c r="H156" s="19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56"/>
      <c r="B157" s="56"/>
      <c r="C157" s="56"/>
      <c r="D157" s="1"/>
      <c r="E157" s="1"/>
      <c r="F157" s="1"/>
      <c r="G157" s="49"/>
      <c r="H157" s="19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56"/>
      <c r="B158" s="56"/>
      <c r="C158" s="56"/>
      <c r="D158" s="1"/>
      <c r="E158" s="1"/>
      <c r="F158" s="1"/>
      <c r="G158" s="49"/>
      <c r="H158" s="19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56"/>
      <c r="B159" s="56"/>
      <c r="C159" s="56"/>
      <c r="D159" s="1"/>
      <c r="E159" s="1"/>
      <c r="F159" s="1"/>
      <c r="G159" s="49"/>
      <c r="H159" s="19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56"/>
      <c r="B160" s="56"/>
      <c r="C160" s="56"/>
      <c r="D160" s="1"/>
      <c r="E160" s="1"/>
      <c r="F160" s="1"/>
      <c r="G160" s="49"/>
      <c r="H160" s="19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56"/>
      <c r="B161" s="56"/>
      <c r="C161" s="56"/>
      <c r="D161" s="1"/>
      <c r="E161" s="1"/>
      <c r="F161" s="1"/>
      <c r="G161" s="49"/>
      <c r="H161" s="19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56"/>
      <c r="B162" s="56"/>
      <c r="C162" s="56"/>
      <c r="D162" s="1"/>
      <c r="E162" s="1"/>
      <c r="F162" s="1"/>
      <c r="G162" s="49"/>
      <c r="H162" s="19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56"/>
      <c r="B163" s="56"/>
      <c r="C163" s="56"/>
      <c r="D163" s="1"/>
      <c r="E163" s="1"/>
      <c r="F163" s="1"/>
      <c r="G163" s="49"/>
      <c r="H163" s="19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56"/>
      <c r="B164" s="56"/>
      <c r="C164" s="56"/>
      <c r="D164" s="1"/>
      <c r="E164" s="1"/>
      <c r="F164" s="1"/>
      <c r="G164" s="49"/>
      <c r="H164" s="19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56"/>
      <c r="B165" s="56"/>
      <c r="C165" s="56"/>
      <c r="D165" s="1"/>
      <c r="E165" s="1"/>
      <c r="F165" s="1"/>
      <c r="G165" s="49"/>
      <c r="H165" s="19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56"/>
      <c r="B166" s="56"/>
      <c r="C166" s="56"/>
      <c r="D166" s="1"/>
      <c r="E166" s="1"/>
      <c r="F166" s="1"/>
      <c r="G166" s="49"/>
      <c r="H166" s="19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56"/>
      <c r="B167" s="56"/>
      <c r="C167" s="56"/>
      <c r="D167" s="1"/>
      <c r="E167" s="1"/>
      <c r="F167" s="1"/>
      <c r="G167" s="49"/>
      <c r="H167" s="19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56"/>
      <c r="B168" s="56"/>
      <c r="C168" s="56"/>
      <c r="D168" s="1"/>
      <c r="E168" s="1"/>
      <c r="F168" s="1"/>
      <c r="G168" s="49"/>
      <c r="H168" s="19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56"/>
      <c r="B169" s="56"/>
      <c r="C169" s="56"/>
      <c r="D169" s="1"/>
      <c r="E169" s="1"/>
      <c r="F169" s="1"/>
      <c r="G169" s="49"/>
      <c r="H169" s="19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56"/>
      <c r="B170" s="56"/>
      <c r="C170" s="56"/>
      <c r="D170" s="1"/>
      <c r="E170" s="1"/>
      <c r="F170" s="1"/>
      <c r="G170" s="49"/>
      <c r="H170" s="19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56"/>
      <c r="B171" s="56"/>
      <c r="C171" s="56"/>
      <c r="D171" s="1"/>
      <c r="E171" s="1"/>
      <c r="F171" s="1"/>
      <c r="G171" s="49"/>
      <c r="H171" s="19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56"/>
      <c r="B172" s="56"/>
      <c r="C172" s="56"/>
      <c r="D172" s="1"/>
      <c r="E172" s="1"/>
      <c r="F172" s="1"/>
      <c r="G172" s="49"/>
      <c r="H172" s="19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56"/>
      <c r="B173" s="56"/>
      <c r="C173" s="56"/>
      <c r="D173" s="1"/>
      <c r="E173" s="1"/>
      <c r="F173" s="1"/>
      <c r="G173" s="49"/>
      <c r="H173" s="19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56"/>
      <c r="B174" s="56"/>
      <c r="C174" s="56"/>
      <c r="D174" s="1"/>
      <c r="E174" s="1"/>
      <c r="F174" s="1"/>
      <c r="G174" s="49"/>
      <c r="H174" s="19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56"/>
      <c r="B175" s="56"/>
      <c r="C175" s="56"/>
      <c r="D175" s="1"/>
      <c r="E175" s="1"/>
      <c r="F175" s="1"/>
      <c r="G175" s="49"/>
      <c r="H175" s="19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56"/>
      <c r="B176" s="56"/>
      <c r="C176" s="56"/>
      <c r="D176" s="1"/>
      <c r="E176" s="1"/>
      <c r="F176" s="1"/>
      <c r="G176" s="49"/>
      <c r="H176" s="19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56"/>
      <c r="B177" s="56"/>
      <c r="C177" s="56"/>
      <c r="D177" s="1"/>
      <c r="E177" s="1"/>
      <c r="F177" s="1"/>
      <c r="G177" s="49"/>
      <c r="H177" s="19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56"/>
      <c r="B178" s="56"/>
      <c r="C178" s="56"/>
      <c r="D178" s="1"/>
      <c r="E178" s="1"/>
      <c r="F178" s="1"/>
      <c r="G178" s="49"/>
      <c r="H178" s="19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56"/>
      <c r="B179" s="56"/>
      <c r="C179" s="56"/>
      <c r="D179" s="1"/>
      <c r="E179" s="1"/>
      <c r="F179" s="1"/>
      <c r="G179" s="49"/>
      <c r="H179" s="19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56"/>
      <c r="B180" s="56"/>
      <c r="C180" s="56"/>
      <c r="D180" s="1"/>
      <c r="E180" s="1"/>
      <c r="F180" s="1"/>
      <c r="G180" s="49"/>
      <c r="H180" s="19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56"/>
      <c r="B181" s="56"/>
      <c r="C181" s="56"/>
      <c r="D181" s="1"/>
      <c r="E181" s="1"/>
      <c r="F181" s="1"/>
      <c r="G181" s="49"/>
      <c r="H181" s="19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56"/>
      <c r="B182" s="56"/>
      <c r="C182" s="56"/>
      <c r="D182" s="1"/>
      <c r="E182" s="1"/>
      <c r="F182" s="1"/>
      <c r="G182" s="49"/>
      <c r="H182" s="19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56"/>
      <c r="B183" s="56"/>
      <c r="C183" s="56"/>
      <c r="D183" s="1"/>
      <c r="E183" s="1"/>
      <c r="F183" s="1"/>
      <c r="G183" s="49"/>
      <c r="H183" s="19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56"/>
      <c r="B184" s="56"/>
      <c r="C184" s="56"/>
      <c r="D184" s="1"/>
      <c r="E184" s="1"/>
      <c r="F184" s="1"/>
      <c r="G184" s="49"/>
      <c r="H184" s="19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56"/>
      <c r="B185" s="56"/>
      <c r="C185" s="56"/>
      <c r="D185" s="1"/>
      <c r="E185" s="1"/>
      <c r="F185" s="1"/>
      <c r="G185" s="49"/>
      <c r="H185" s="19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56"/>
      <c r="B186" s="56"/>
      <c r="C186" s="56"/>
      <c r="D186" s="1"/>
      <c r="E186" s="1"/>
      <c r="F186" s="1"/>
      <c r="G186" s="49"/>
      <c r="H186" s="19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56"/>
      <c r="B187" s="56"/>
      <c r="C187" s="56"/>
      <c r="D187" s="1"/>
      <c r="E187" s="1"/>
      <c r="F187" s="1"/>
      <c r="G187" s="49"/>
      <c r="H187" s="19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56"/>
      <c r="B188" s="56"/>
      <c r="C188" s="56"/>
      <c r="D188" s="1"/>
      <c r="E188" s="1"/>
      <c r="F188" s="1"/>
      <c r="G188" s="49"/>
      <c r="H188" s="19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56"/>
      <c r="B189" s="56"/>
      <c r="C189" s="56"/>
      <c r="D189" s="1"/>
      <c r="E189" s="1"/>
      <c r="F189" s="1"/>
      <c r="G189" s="49"/>
      <c r="H189" s="19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56"/>
      <c r="B190" s="56"/>
      <c r="C190" s="56"/>
      <c r="D190" s="1"/>
      <c r="E190" s="1"/>
      <c r="F190" s="1"/>
      <c r="G190" s="49"/>
      <c r="H190" s="19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56"/>
      <c r="B191" s="56"/>
      <c r="C191" s="56"/>
      <c r="D191" s="1"/>
      <c r="E191" s="1"/>
      <c r="F191" s="1"/>
      <c r="G191" s="49"/>
      <c r="H191" s="19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56"/>
      <c r="B192" s="56"/>
      <c r="C192" s="56"/>
      <c r="D192" s="1"/>
      <c r="E192" s="1"/>
      <c r="F192" s="1"/>
      <c r="G192" s="49"/>
      <c r="H192" s="19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56"/>
      <c r="B193" s="56"/>
      <c r="C193" s="56"/>
      <c r="D193" s="1"/>
      <c r="E193" s="1"/>
      <c r="F193" s="1"/>
      <c r="G193" s="49"/>
      <c r="H193" s="19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56"/>
      <c r="B194" s="56"/>
      <c r="C194" s="56"/>
      <c r="D194" s="1"/>
      <c r="E194" s="1"/>
      <c r="F194" s="1"/>
      <c r="G194" s="49"/>
      <c r="H194" s="19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56"/>
      <c r="B195" s="56"/>
      <c r="C195" s="56"/>
      <c r="D195" s="1"/>
      <c r="E195" s="1"/>
      <c r="F195" s="1"/>
      <c r="G195" s="49"/>
      <c r="H195" s="19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56"/>
      <c r="B196" s="56"/>
      <c r="C196" s="56"/>
      <c r="D196" s="1"/>
      <c r="E196" s="1"/>
      <c r="F196" s="1"/>
      <c r="G196" s="49"/>
      <c r="H196" s="19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56"/>
      <c r="B197" s="56"/>
      <c r="C197" s="56"/>
      <c r="D197" s="1"/>
      <c r="E197" s="1"/>
      <c r="F197" s="1"/>
      <c r="G197" s="49"/>
      <c r="H197" s="19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56"/>
      <c r="B198" s="56"/>
      <c r="C198" s="56"/>
      <c r="D198" s="1"/>
      <c r="E198" s="1"/>
      <c r="F198" s="1"/>
      <c r="G198" s="49"/>
      <c r="H198" s="19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56"/>
      <c r="B199" s="56"/>
      <c r="C199" s="56"/>
      <c r="D199" s="1"/>
      <c r="E199" s="1"/>
      <c r="F199" s="1"/>
      <c r="G199" s="49"/>
      <c r="H199" s="19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56"/>
      <c r="B200" s="56"/>
      <c r="C200" s="56"/>
      <c r="D200" s="1"/>
      <c r="E200" s="1"/>
      <c r="F200" s="1"/>
      <c r="G200" s="49"/>
      <c r="H200" s="19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56"/>
      <c r="B201" s="56"/>
      <c r="C201" s="56"/>
      <c r="D201" s="1"/>
      <c r="E201" s="1"/>
      <c r="F201" s="1"/>
      <c r="G201" s="49"/>
      <c r="H201" s="19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56"/>
      <c r="B202" s="56"/>
      <c r="C202" s="56"/>
      <c r="D202" s="1"/>
      <c r="E202" s="1"/>
      <c r="F202" s="1"/>
      <c r="G202" s="49"/>
      <c r="H202" s="19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56"/>
      <c r="B203" s="56"/>
      <c r="C203" s="56"/>
      <c r="D203" s="1"/>
      <c r="E203" s="1"/>
      <c r="F203" s="1"/>
      <c r="G203" s="49"/>
      <c r="H203" s="19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56"/>
      <c r="B204" s="56"/>
      <c r="C204" s="56"/>
      <c r="D204" s="1"/>
      <c r="E204" s="1"/>
      <c r="F204" s="1"/>
      <c r="G204" s="49"/>
      <c r="H204" s="19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56"/>
      <c r="B205" s="56"/>
      <c r="C205" s="56"/>
      <c r="D205" s="1"/>
      <c r="E205" s="1"/>
      <c r="F205" s="1"/>
      <c r="G205" s="49"/>
      <c r="H205" s="19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56"/>
      <c r="B206" s="56"/>
      <c r="C206" s="56"/>
      <c r="D206" s="1"/>
      <c r="E206" s="1"/>
      <c r="F206" s="1"/>
      <c r="G206" s="49"/>
      <c r="H206" s="19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56"/>
      <c r="B207" s="56"/>
      <c r="C207" s="56"/>
      <c r="D207" s="1"/>
      <c r="E207" s="1"/>
      <c r="F207" s="1"/>
      <c r="G207" s="49"/>
      <c r="H207" s="19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56"/>
      <c r="B208" s="56"/>
      <c r="C208" s="56"/>
      <c r="D208" s="1"/>
      <c r="E208" s="1"/>
      <c r="F208" s="1"/>
      <c r="G208" s="49"/>
      <c r="H208" s="19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56"/>
      <c r="B209" s="56"/>
      <c r="C209" s="56"/>
      <c r="D209" s="1"/>
      <c r="E209" s="1"/>
      <c r="F209" s="1"/>
      <c r="G209" s="49"/>
      <c r="H209" s="19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56"/>
      <c r="B210" s="56"/>
      <c r="C210" s="56"/>
      <c r="D210" s="1"/>
      <c r="E210" s="1"/>
      <c r="F210" s="1"/>
      <c r="G210" s="49"/>
      <c r="H210" s="19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56"/>
      <c r="B211" s="56"/>
      <c r="C211" s="56"/>
      <c r="D211" s="1"/>
      <c r="E211" s="1"/>
      <c r="F211" s="1"/>
      <c r="G211" s="49"/>
      <c r="H211" s="19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56"/>
      <c r="B212" s="56"/>
      <c r="C212" s="56"/>
      <c r="D212" s="1"/>
      <c r="E212" s="1"/>
      <c r="F212" s="1"/>
      <c r="G212" s="49"/>
      <c r="H212" s="19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56"/>
      <c r="B213" s="56"/>
      <c r="C213" s="56"/>
      <c r="D213" s="1"/>
      <c r="E213" s="1"/>
      <c r="F213" s="1"/>
      <c r="G213" s="49"/>
      <c r="H213" s="19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56"/>
      <c r="B214" s="56"/>
      <c r="C214" s="56"/>
      <c r="D214" s="1"/>
      <c r="E214" s="1"/>
      <c r="F214" s="1"/>
      <c r="G214" s="49"/>
      <c r="H214" s="19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56"/>
      <c r="B215" s="56"/>
      <c r="C215" s="56"/>
      <c r="D215" s="1"/>
      <c r="E215" s="1"/>
      <c r="F215" s="1"/>
      <c r="G215" s="49"/>
      <c r="H215" s="19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56"/>
      <c r="B216" s="56"/>
      <c r="C216" s="56"/>
      <c r="D216" s="1"/>
      <c r="E216" s="1"/>
      <c r="F216" s="1"/>
      <c r="G216" s="49"/>
      <c r="H216" s="19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56"/>
      <c r="B217" s="56"/>
      <c r="C217" s="56"/>
      <c r="D217" s="1"/>
      <c r="E217" s="1"/>
      <c r="F217" s="1"/>
      <c r="G217" s="49"/>
      <c r="H217" s="19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56"/>
      <c r="B218" s="56"/>
      <c r="C218" s="56"/>
      <c r="D218" s="1"/>
      <c r="E218" s="1"/>
      <c r="F218" s="1"/>
      <c r="G218" s="49"/>
      <c r="H218" s="19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56"/>
      <c r="B219" s="56"/>
      <c r="C219" s="56"/>
      <c r="D219" s="1"/>
      <c r="E219" s="1"/>
      <c r="F219" s="1"/>
      <c r="G219" s="49"/>
      <c r="H219" s="19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56"/>
      <c r="B220" s="56"/>
      <c r="C220" s="56"/>
      <c r="D220" s="1"/>
      <c r="E220" s="1"/>
      <c r="F220" s="1"/>
      <c r="G220" s="49"/>
      <c r="H220" s="19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56"/>
      <c r="B221" s="56"/>
      <c r="C221" s="56"/>
      <c r="D221" s="1"/>
      <c r="E221" s="1"/>
      <c r="F221" s="1"/>
      <c r="G221" s="49"/>
      <c r="H221" s="19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56"/>
      <c r="B222" s="56"/>
      <c r="C222" s="56"/>
      <c r="D222" s="1"/>
      <c r="E222" s="1"/>
      <c r="F222" s="1"/>
      <c r="G222" s="49"/>
      <c r="H222" s="19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56"/>
      <c r="B223" s="56"/>
      <c r="C223" s="56"/>
      <c r="D223" s="1"/>
      <c r="E223" s="1"/>
      <c r="F223" s="1"/>
      <c r="G223" s="49"/>
      <c r="H223" s="19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56"/>
      <c r="B224" s="56"/>
      <c r="C224" s="56"/>
      <c r="D224" s="1"/>
      <c r="E224" s="1"/>
      <c r="F224" s="1"/>
      <c r="G224" s="49"/>
      <c r="H224" s="19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56"/>
      <c r="B225" s="56"/>
      <c r="C225" s="56"/>
      <c r="D225" s="1"/>
      <c r="E225" s="1"/>
      <c r="F225" s="1"/>
      <c r="G225" s="49"/>
      <c r="H225" s="19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56"/>
      <c r="B226" s="56"/>
      <c r="C226" s="56"/>
      <c r="D226" s="1"/>
      <c r="E226" s="1"/>
      <c r="F226" s="1"/>
      <c r="G226" s="49"/>
      <c r="H226" s="19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56"/>
      <c r="B227" s="56"/>
      <c r="C227" s="56"/>
      <c r="D227" s="1"/>
      <c r="E227" s="1"/>
      <c r="F227" s="1"/>
      <c r="G227" s="49"/>
      <c r="H227" s="19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56"/>
      <c r="B228" s="56"/>
      <c r="C228" s="56"/>
      <c r="D228" s="1"/>
      <c r="E228" s="1"/>
      <c r="F228" s="1"/>
      <c r="G228" s="49"/>
      <c r="H228" s="19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56"/>
      <c r="B229" s="56"/>
      <c r="C229" s="56"/>
      <c r="D229" s="1"/>
      <c r="E229" s="1"/>
      <c r="F229" s="1"/>
      <c r="G229" s="49"/>
      <c r="H229" s="19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56"/>
      <c r="B230" s="56"/>
      <c r="C230" s="56"/>
      <c r="D230" s="1"/>
      <c r="E230" s="1"/>
      <c r="F230" s="1"/>
      <c r="G230" s="49"/>
      <c r="H230" s="19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56"/>
      <c r="B231" s="56"/>
      <c r="C231" s="56"/>
      <c r="D231" s="1"/>
      <c r="E231" s="1"/>
      <c r="F231" s="1"/>
      <c r="G231" s="49"/>
      <c r="H231" s="19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56"/>
      <c r="B232" s="56"/>
      <c r="C232" s="56"/>
      <c r="D232" s="1"/>
      <c r="E232" s="1"/>
      <c r="F232" s="1"/>
      <c r="G232" s="49"/>
      <c r="H232" s="19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56"/>
      <c r="B233" s="56"/>
      <c r="C233" s="56"/>
      <c r="D233" s="1"/>
      <c r="E233" s="1"/>
      <c r="F233" s="1"/>
      <c r="G233" s="49"/>
      <c r="H233" s="19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56"/>
      <c r="B234" s="56"/>
      <c r="C234" s="56"/>
      <c r="D234" s="1"/>
      <c r="E234" s="1"/>
      <c r="F234" s="1"/>
      <c r="G234" s="49"/>
      <c r="H234" s="19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56"/>
      <c r="B235" s="56"/>
      <c r="C235" s="56"/>
      <c r="D235" s="1"/>
      <c r="E235" s="1"/>
      <c r="F235" s="1"/>
      <c r="G235" s="49"/>
      <c r="H235" s="19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56"/>
      <c r="B236" s="56"/>
      <c r="C236" s="56"/>
      <c r="D236" s="1"/>
      <c r="E236" s="1"/>
      <c r="F236" s="1"/>
      <c r="G236" s="49"/>
      <c r="H236" s="19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56"/>
      <c r="B237" s="56"/>
      <c r="C237" s="56"/>
      <c r="D237" s="1"/>
      <c r="E237" s="1"/>
      <c r="F237" s="1"/>
      <c r="G237" s="49"/>
      <c r="H237" s="19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56"/>
      <c r="B238" s="56"/>
      <c r="C238" s="56"/>
      <c r="D238" s="1"/>
      <c r="E238" s="1"/>
      <c r="F238" s="1"/>
      <c r="G238" s="49"/>
      <c r="H238" s="19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56"/>
      <c r="B239" s="56"/>
      <c r="C239" s="56"/>
      <c r="D239" s="1"/>
      <c r="E239" s="1"/>
      <c r="F239" s="1"/>
      <c r="G239" s="49"/>
      <c r="H239" s="19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56"/>
      <c r="B240" s="56"/>
      <c r="C240" s="56"/>
      <c r="D240" s="1"/>
      <c r="E240" s="1"/>
      <c r="F240" s="1"/>
      <c r="G240" s="49"/>
      <c r="H240" s="19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56"/>
      <c r="B241" s="56"/>
      <c r="C241" s="56"/>
      <c r="D241" s="1"/>
      <c r="E241" s="1"/>
      <c r="F241" s="1"/>
      <c r="G241" s="49"/>
      <c r="H241" s="19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56"/>
      <c r="B242" s="56"/>
      <c r="C242" s="56"/>
      <c r="D242" s="1"/>
      <c r="E242" s="1"/>
      <c r="F242" s="1"/>
      <c r="G242" s="49"/>
      <c r="H242" s="19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56"/>
      <c r="B243" s="56"/>
      <c r="C243" s="56"/>
      <c r="D243" s="1"/>
      <c r="E243" s="1"/>
      <c r="F243" s="1"/>
      <c r="G243" s="49"/>
      <c r="H243" s="19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56"/>
      <c r="B244" s="56"/>
      <c r="C244" s="56"/>
      <c r="D244" s="1"/>
      <c r="E244" s="1"/>
      <c r="F244" s="1"/>
      <c r="G244" s="49"/>
      <c r="H244" s="19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56"/>
      <c r="B245" s="56"/>
      <c r="C245" s="56"/>
      <c r="D245" s="1"/>
      <c r="E245" s="1"/>
      <c r="F245" s="1"/>
      <c r="G245" s="49"/>
      <c r="H245" s="19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56"/>
      <c r="B246" s="56"/>
      <c r="C246" s="56"/>
      <c r="D246" s="1"/>
      <c r="E246" s="1"/>
      <c r="F246" s="1"/>
      <c r="G246" s="49"/>
      <c r="H246" s="19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56"/>
      <c r="B247" s="56"/>
      <c r="C247" s="56"/>
      <c r="D247" s="1"/>
      <c r="E247" s="1"/>
      <c r="F247" s="1"/>
      <c r="G247" s="49"/>
      <c r="H247" s="19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56"/>
      <c r="B248" s="56"/>
      <c r="C248" s="56"/>
      <c r="D248" s="1"/>
      <c r="E248" s="1"/>
      <c r="F248" s="1"/>
      <c r="G248" s="49"/>
      <c r="H248" s="19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56"/>
      <c r="B249" s="56"/>
      <c r="C249" s="56"/>
      <c r="D249" s="1"/>
      <c r="E249" s="1"/>
      <c r="F249" s="1"/>
      <c r="G249" s="49"/>
      <c r="H249" s="19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56"/>
      <c r="B250" s="56"/>
      <c r="C250" s="56"/>
      <c r="D250" s="1"/>
      <c r="E250" s="1"/>
      <c r="F250" s="1"/>
      <c r="G250" s="49"/>
      <c r="H250" s="19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56"/>
      <c r="B251" s="56"/>
      <c r="C251" s="56"/>
      <c r="D251" s="1"/>
      <c r="E251" s="1"/>
      <c r="F251" s="1"/>
      <c r="G251" s="49"/>
      <c r="H251" s="19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56"/>
      <c r="B252" s="56"/>
      <c r="C252" s="56"/>
      <c r="D252" s="1"/>
      <c r="E252" s="1"/>
      <c r="F252" s="1"/>
      <c r="G252" s="49"/>
      <c r="H252" s="19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56"/>
      <c r="B253" s="56"/>
      <c r="C253" s="56"/>
      <c r="D253" s="1"/>
      <c r="E253" s="1"/>
      <c r="F253" s="1"/>
      <c r="G253" s="49"/>
      <c r="H253" s="19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56"/>
      <c r="B254" s="56"/>
      <c r="C254" s="56"/>
      <c r="D254" s="1"/>
      <c r="E254" s="1"/>
      <c r="F254" s="1"/>
      <c r="G254" s="49"/>
      <c r="H254" s="19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56"/>
      <c r="B255" s="56"/>
      <c r="C255" s="56"/>
      <c r="D255" s="1"/>
      <c r="E255" s="1"/>
      <c r="F255" s="1"/>
      <c r="G255" s="49"/>
      <c r="H255" s="19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56"/>
      <c r="B256" s="56"/>
      <c r="C256" s="56"/>
      <c r="D256" s="1"/>
      <c r="E256" s="1"/>
      <c r="F256" s="1"/>
      <c r="G256" s="49"/>
      <c r="H256" s="19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56"/>
      <c r="B257" s="56"/>
      <c r="C257" s="56"/>
      <c r="D257" s="1"/>
      <c r="E257" s="1"/>
      <c r="F257" s="1"/>
      <c r="G257" s="49"/>
      <c r="H257" s="19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56"/>
      <c r="B258" s="56"/>
      <c r="C258" s="56"/>
      <c r="D258" s="1"/>
      <c r="E258" s="1"/>
      <c r="F258" s="1"/>
      <c r="G258" s="49"/>
      <c r="H258" s="19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56"/>
      <c r="B259" s="56"/>
      <c r="C259" s="56"/>
      <c r="D259" s="1"/>
      <c r="E259" s="1"/>
      <c r="F259" s="1"/>
      <c r="G259" s="49"/>
      <c r="H259" s="19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56"/>
      <c r="B260" s="56"/>
      <c r="C260" s="56"/>
      <c r="D260" s="1"/>
      <c r="E260" s="1"/>
      <c r="F260" s="1"/>
      <c r="G260" s="49"/>
      <c r="H260" s="19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56"/>
      <c r="B261" s="56"/>
      <c r="C261" s="56"/>
      <c r="D261" s="1"/>
      <c r="E261" s="1"/>
      <c r="F261" s="1"/>
      <c r="G261" s="49"/>
      <c r="H261" s="19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56"/>
      <c r="B262" s="56"/>
      <c r="C262" s="56"/>
      <c r="D262" s="1"/>
      <c r="E262" s="1"/>
      <c r="F262" s="1"/>
      <c r="G262" s="49"/>
      <c r="H262" s="19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56"/>
      <c r="B263" s="56"/>
      <c r="C263" s="56"/>
      <c r="D263" s="1"/>
      <c r="E263" s="1"/>
      <c r="F263" s="1"/>
      <c r="G263" s="49"/>
      <c r="H263" s="19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56"/>
      <c r="B264" s="56"/>
      <c r="C264" s="56"/>
      <c r="D264" s="1"/>
      <c r="E264" s="1"/>
      <c r="F264" s="1"/>
      <c r="G264" s="49"/>
      <c r="H264" s="19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56"/>
      <c r="B265" s="56"/>
      <c r="C265" s="56"/>
      <c r="D265" s="1"/>
      <c r="E265" s="1"/>
      <c r="F265" s="1"/>
      <c r="G265" s="49"/>
      <c r="H265" s="19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56"/>
      <c r="B266" s="56"/>
      <c r="C266" s="56"/>
      <c r="D266" s="1"/>
      <c r="E266" s="1"/>
      <c r="F266" s="1"/>
      <c r="G266" s="49"/>
      <c r="H266" s="19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56"/>
      <c r="B267" s="56"/>
      <c r="C267" s="56"/>
      <c r="D267" s="1"/>
      <c r="E267" s="1"/>
      <c r="F267" s="1"/>
      <c r="G267" s="49"/>
      <c r="H267" s="19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56"/>
      <c r="B268" s="56"/>
      <c r="C268" s="56"/>
      <c r="D268" s="1"/>
      <c r="E268" s="1"/>
      <c r="F268" s="1"/>
      <c r="G268" s="49"/>
      <c r="H268" s="19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56"/>
      <c r="B269" s="56"/>
      <c r="C269" s="56"/>
      <c r="D269" s="1"/>
      <c r="E269" s="1"/>
      <c r="F269" s="1"/>
      <c r="G269" s="49"/>
      <c r="H269" s="19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56"/>
      <c r="B270" s="56"/>
      <c r="C270" s="56"/>
      <c r="D270" s="1"/>
      <c r="E270" s="1"/>
      <c r="F270" s="1"/>
      <c r="G270" s="49"/>
      <c r="H270" s="19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56"/>
      <c r="B271" s="56"/>
      <c r="C271" s="56"/>
      <c r="D271" s="1"/>
      <c r="E271" s="1"/>
      <c r="F271" s="1"/>
      <c r="G271" s="49"/>
      <c r="H271" s="19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56"/>
      <c r="B272" s="56"/>
      <c r="C272" s="56"/>
      <c r="D272" s="1"/>
      <c r="E272" s="1"/>
      <c r="F272" s="1"/>
      <c r="G272" s="49"/>
      <c r="H272" s="19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56"/>
      <c r="B273" s="56"/>
      <c r="C273" s="56"/>
      <c r="D273" s="1"/>
      <c r="E273" s="1"/>
      <c r="F273" s="1"/>
      <c r="G273" s="49"/>
      <c r="H273" s="19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56"/>
      <c r="B274" s="56"/>
      <c r="C274" s="56"/>
      <c r="D274" s="1"/>
      <c r="E274" s="1"/>
      <c r="F274" s="1"/>
      <c r="G274" s="49"/>
      <c r="H274" s="19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56"/>
      <c r="B275" s="56"/>
      <c r="C275" s="56"/>
      <c r="D275" s="1"/>
      <c r="E275" s="1"/>
      <c r="F275" s="1"/>
      <c r="G275" s="49"/>
      <c r="H275" s="19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56"/>
      <c r="B276" s="56"/>
      <c r="C276" s="56"/>
      <c r="D276" s="1"/>
      <c r="E276" s="1"/>
      <c r="F276" s="1"/>
      <c r="G276" s="49"/>
      <c r="H276" s="19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56"/>
      <c r="B277" s="56"/>
      <c r="C277" s="56"/>
      <c r="D277" s="1"/>
      <c r="E277" s="1"/>
      <c r="F277" s="1"/>
      <c r="G277" s="49"/>
      <c r="H277" s="19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56"/>
      <c r="B278" s="56"/>
      <c r="C278" s="56"/>
      <c r="D278" s="1"/>
      <c r="E278" s="1"/>
      <c r="F278" s="1"/>
      <c r="G278" s="49"/>
      <c r="H278" s="19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56"/>
      <c r="B279" s="56"/>
      <c r="C279" s="56"/>
      <c r="D279" s="1"/>
      <c r="E279" s="1"/>
      <c r="F279" s="1"/>
      <c r="G279" s="49"/>
      <c r="H279" s="19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56"/>
      <c r="B280" s="56"/>
      <c r="C280" s="56"/>
      <c r="D280" s="1"/>
      <c r="E280" s="1"/>
      <c r="F280" s="1"/>
      <c r="G280" s="49"/>
      <c r="H280" s="19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56"/>
      <c r="B281" s="56"/>
      <c r="C281" s="56"/>
      <c r="D281" s="1"/>
      <c r="E281" s="1"/>
      <c r="F281" s="1"/>
      <c r="G281" s="49"/>
      <c r="H281" s="19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56"/>
      <c r="B282" s="56"/>
      <c r="C282" s="56"/>
      <c r="D282" s="1"/>
      <c r="E282" s="1"/>
      <c r="F282" s="1"/>
      <c r="G282" s="49"/>
      <c r="H282" s="19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56"/>
      <c r="B283" s="56"/>
      <c r="C283" s="56"/>
      <c r="D283" s="1"/>
      <c r="E283" s="1"/>
      <c r="F283" s="1"/>
      <c r="G283" s="49"/>
      <c r="H283" s="19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56"/>
      <c r="B284" s="56"/>
      <c r="C284" s="56"/>
      <c r="D284" s="1"/>
      <c r="E284" s="1"/>
      <c r="F284" s="1"/>
      <c r="G284" s="49"/>
      <c r="H284" s="19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56"/>
      <c r="B285" s="56"/>
      <c r="C285" s="56"/>
      <c r="D285" s="1"/>
      <c r="E285" s="1"/>
      <c r="F285" s="1"/>
      <c r="G285" s="49"/>
      <c r="H285" s="19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56"/>
      <c r="B286" s="56"/>
      <c r="C286" s="56"/>
      <c r="D286" s="1"/>
      <c r="E286" s="1"/>
      <c r="F286" s="1"/>
      <c r="G286" s="49"/>
      <c r="H286" s="19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56"/>
      <c r="B287" s="56"/>
      <c r="C287" s="56"/>
      <c r="D287" s="1"/>
      <c r="E287" s="1"/>
      <c r="F287" s="1"/>
      <c r="G287" s="49"/>
      <c r="H287" s="19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56"/>
      <c r="B288" s="56"/>
      <c r="C288" s="56"/>
      <c r="D288" s="1"/>
      <c r="E288" s="1"/>
      <c r="F288" s="1"/>
      <c r="G288" s="49"/>
      <c r="H288" s="19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56"/>
      <c r="B289" s="56"/>
      <c r="C289" s="56"/>
      <c r="D289" s="1"/>
      <c r="E289" s="1"/>
      <c r="F289" s="1"/>
      <c r="G289" s="49"/>
      <c r="H289" s="19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56"/>
      <c r="B290" s="56"/>
      <c r="C290" s="56"/>
      <c r="D290" s="1"/>
      <c r="E290" s="1"/>
      <c r="F290" s="1"/>
      <c r="G290" s="49"/>
      <c r="H290" s="19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56"/>
      <c r="B291" s="56"/>
      <c r="C291" s="56"/>
      <c r="D291" s="1"/>
      <c r="E291" s="1"/>
      <c r="F291" s="1"/>
      <c r="G291" s="49"/>
      <c r="H291" s="19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56"/>
      <c r="B292" s="56"/>
      <c r="C292" s="56"/>
      <c r="D292" s="1"/>
      <c r="E292" s="1"/>
      <c r="F292" s="1"/>
      <c r="G292" s="49"/>
      <c r="H292" s="19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56"/>
      <c r="B293" s="56"/>
      <c r="C293" s="56"/>
      <c r="D293" s="1"/>
      <c r="E293" s="1"/>
      <c r="F293" s="1"/>
      <c r="G293" s="49"/>
      <c r="H293" s="19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56"/>
      <c r="B294" s="56"/>
      <c r="C294" s="56"/>
      <c r="D294" s="1"/>
      <c r="E294" s="1"/>
      <c r="F294" s="1"/>
      <c r="G294" s="49"/>
      <c r="H294" s="19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56"/>
      <c r="B295" s="56"/>
      <c r="C295" s="56"/>
      <c r="D295" s="1"/>
      <c r="E295" s="1"/>
      <c r="F295" s="1"/>
      <c r="G295" s="49"/>
      <c r="H295" s="19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56"/>
      <c r="B296" s="56"/>
      <c r="C296" s="56"/>
      <c r="D296" s="1"/>
      <c r="E296" s="1"/>
      <c r="F296" s="1"/>
      <c r="G296" s="49"/>
      <c r="H296" s="19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56"/>
      <c r="B297" s="56"/>
      <c r="C297" s="56"/>
      <c r="D297" s="1"/>
      <c r="E297" s="1"/>
      <c r="F297" s="1"/>
      <c r="G297" s="49"/>
      <c r="H297" s="19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56"/>
      <c r="B298" s="56"/>
      <c r="C298" s="56"/>
      <c r="D298" s="1"/>
      <c r="E298" s="1"/>
      <c r="F298" s="1"/>
      <c r="G298" s="49"/>
      <c r="H298" s="19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56"/>
      <c r="B299" s="56"/>
      <c r="C299" s="56"/>
      <c r="D299" s="1"/>
      <c r="E299" s="1"/>
      <c r="F299" s="1"/>
      <c r="G299" s="49"/>
      <c r="H299" s="19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56"/>
      <c r="B300" s="56"/>
      <c r="C300" s="56"/>
      <c r="D300" s="1"/>
      <c r="E300" s="1"/>
      <c r="F300" s="1"/>
      <c r="G300" s="49"/>
      <c r="H300" s="19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56"/>
      <c r="B301" s="56"/>
      <c r="C301" s="56"/>
      <c r="D301" s="1"/>
      <c r="E301" s="1"/>
      <c r="F301" s="1"/>
      <c r="G301" s="49"/>
      <c r="H301" s="19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56"/>
      <c r="B302" s="56"/>
      <c r="C302" s="56"/>
      <c r="D302" s="1"/>
      <c r="E302" s="1"/>
      <c r="F302" s="1"/>
      <c r="G302" s="49"/>
      <c r="H302" s="19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56"/>
      <c r="B303" s="56"/>
      <c r="C303" s="56"/>
      <c r="D303" s="1"/>
      <c r="E303" s="1"/>
      <c r="F303" s="1"/>
      <c r="G303" s="49"/>
      <c r="H303" s="19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56"/>
      <c r="B304" s="56"/>
      <c r="C304" s="56"/>
      <c r="D304" s="1"/>
      <c r="E304" s="1"/>
      <c r="F304" s="1"/>
      <c r="G304" s="49"/>
      <c r="H304" s="19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56"/>
      <c r="B305" s="56"/>
      <c r="C305" s="56"/>
      <c r="D305" s="1"/>
      <c r="E305" s="1"/>
      <c r="F305" s="1"/>
      <c r="G305" s="49"/>
      <c r="H305" s="19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56"/>
      <c r="B306" s="56"/>
      <c r="C306" s="56"/>
      <c r="D306" s="1"/>
      <c r="E306" s="1"/>
      <c r="F306" s="1"/>
      <c r="G306" s="49"/>
      <c r="H306" s="19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56"/>
      <c r="B307" s="56"/>
      <c r="C307" s="56"/>
      <c r="D307" s="1"/>
      <c r="E307" s="1"/>
      <c r="F307" s="1"/>
      <c r="G307" s="49"/>
      <c r="H307" s="19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56"/>
      <c r="B308" s="56"/>
      <c r="C308" s="56"/>
      <c r="D308" s="1"/>
      <c r="E308" s="1"/>
      <c r="F308" s="1"/>
      <c r="G308" s="49"/>
      <c r="H308" s="19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56"/>
      <c r="B309" s="56"/>
      <c r="C309" s="56"/>
      <c r="D309" s="1"/>
      <c r="E309" s="1"/>
      <c r="F309" s="1"/>
      <c r="G309" s="49"/>
      <c r="H309" s="19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56"/>
      <c r="B310" s="56"/>
      <c r="C310" s="56"/>
      <c r="D310" s="1"/>
      <c r="E310" s="1"/>
      <c r="F310" s="1"/>
      <c r="G310" s="49"/>
      <c r="H310" s="19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56"/>
      <c r="B311" s="56"/>
      <c r="C311" s="56"/>
      <c r="D311" s="1"/>
      <c r="E311" s="1"/>
      <c r="F311" s="1"/>
      <c r="G311" s="49"/>
      <c r="H311" s="19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56"/>
      <c r="B312" s="56"/>
      <c r="C312" s="56"/>
      <c r="D312" s="1"/>
      <c r="E312" s="1"/>
      <c r="F312" s="1"/>
      <c r="G312" s="49"/>
      <c r="H312" s="19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56"/>
      <c r="B313" s="56"/>
      <c r="C313" s="56"/>
      <c r="D313" s="1"/>
      <c r="E313" s="1"/>
      <c r="F313" s="1"/>
      <c r="G313" s="49"/>
      <c r="H313" s="19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56"/>
      <c r="B314" s="56"/>
      <c r="C314" s="56"/>
      <c r="D314" s="1"/>
      <c r="E314" s="1"/>
      <c r="F314" s="1"/>
      <c r="G314" s="49"/>
      <c r="H314" s="19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56"/>
      <c r="B315" s="56"/>
      <c r="C315" s="56"/>
      <c r="D315" s="1"/>
      <c r="E315" s="1"/>
      <c r="F315" s="1"/>
      <c r="G315" s="49"/>
      <c r="H315" s="19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56"/>
      <c r="B316" s="56"/>
      <c r="C316" s="56"/>
      <c r="D316" s="1"/>
      <c r="E316" s="1"/>
      <c r="F316" s="1"/>
      <c r="G316" s="49"/>
      <c r="H316" s="19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56"/>
      <c r="B317" s="56"/>
      <c r="C317" s="56"/>
      <c r="D317" s="1"/>
      <c r="E317" s="1"/>
      <c r="F317" s="1"/>
      <c r="G317" s="49"/>
      <c r="H317" s="19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56"/>
      <c r="B318" s="56"/>
      <c r="C318" s="56"/>
      <c r="D318" s="1"/>
      <c r="E318" s="1"/>
      <c r="F318" s="1"/>
      <c r="G318" s="49"/>
      <c r="H318" s="19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56"/>
      <c r="B319" s="56"/>
      <c r="C319" s="56"/>
      <c r="D319" s="1"/>
      <c r="E319" s="1"/>
      <c r="F319" s="1"/>
      <c r="G319" s="49"/>
      <c r="H319" s="19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56"/>
      <c r="B320" s="56"/>
      <c r="C320" s="56"/>
      <c r="D320" s="1"/>
      <c r="E320" s="1"/>
      <c r="F320" s="1"/>
      <c r="G320" s="49"/>
      <c r="H320" s="19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56"/>
      <c r="B321" s="56"/>
      <c r="C321" s="56"/>
      <c r="D321" s="1"/>
      <c r="E321" s="1"/>
      <c r="F321" s="1"/>
      <c r="G321" s="49"/>
      <c r="H321" s="19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56"/>
      <c r="B322" s="56"/>
      <c r="C322" s="56"/>
      <c r="D322" s="1"/>
      <c r="E322" s="1"/>
      <c r="F322" s="1"/>
      <c r="G322" s="49"/>
      <c r="H322" s="19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56"/>
      <c r="B323" s="56"/>
      <c r="C323" s="56"/>
      <c r="D323" s="1"/>
      <c r="E323" s="1"/>
      <c r="F323" s="1"/>
      <c r="G323" s="49"/>
      <c r="H323" s="19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56"/>
      <c r="B324" s="56"/>
      <c r="C324" s="56"/>
      <c r="D324" s="1"/>
      <c r="E324" s="1"/>
      <c r="F324" s="1"/>
      <c r="G324" s="49"/>
      <c r="H324" s="19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56"/>
      <c r="B325" s="56"/>
      <c r="C325" s="56"/>
      <c r="D325" s="1"/>
      <c r="E325" s="1"/>
      <c r="F325" s="1"/>
      <c r="G325" s="49"/>
      <c r="H325" s="19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56"/>
      <c r="B326" s="56"/>
      <c r="C326" s="56"/>
      <c r="D326" s="1"/>
      <c r="E326" s="1"/>
      <c r="F326" s="1"/>
      <c r="G326" s="49"/>
      <c r="H326" s="19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56"/>
      <c r="B327" s="56"/>
      <c r="C327" s="56"/>
      <c r="D327" s="1"/>
      <c r="E327" s="1"/>
      <c r="F327" s="1"/>
      <c r="G327" s="49"/>
      <c r="H327" s="19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56"/>
      <c r="B328" s="56"/>
      <c r="C328" s="56"/>
      <c r="D328" s="1"/>
      <c r="E328" s="1"/>
      <c r="F328" s="1"/>
      <c r="G328" s="49"/>
      <c r="H328" s="19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56"/>
      <c r="B329" s="56"/>
      <c r="C329" s="56"/>
      <c r="D329" s="1"/>
      <c r="E329" s="1"/>
      <c r="F329" s="1"/>
      <c r="G329" s="49"/>
      <c r="H329" s="19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56"/>
      <c r="B330" s="56"/>
      <c r="C330" s="56"/>
      <c r="D330" s="1"/>
      <c r="E330" s="1"/>
      <c r="F330" s="1"/>
      <c r="G330" s="49"/>
      <c r="H330" s="19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56"/>
      <c r="B331" s="56"/>
      <c r="C331" s="56"/>
      <c r="D331" s="1"/>
      <c r="E331" s="1"/>
      <c r="F331" s="1"/>
      <c r="G331" s="49"/>
      <c r="H331" s="19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56"/>
      <c r="B332" s="56"/>
      <c r="C332" s="56"/>
      <c r="D332" s="1"/>
      <c r="E332" s="1"/>
      <c r="F332" s="1"/>
      <c r="G332" s="49"/>
      <c r="H332" s="19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56"/>
      <c r="B333" s="56"/>
      <c r="C333" s="56"/>
      <c r="D333" s="1"/>
      <c r="E333" s="1"/>
      <c r="F333" s="1"/>
      <c r="G333" s="49"/>
      <c r="H333" s="19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56"/>
      <c r="B334" s="56"/>
      <c r="C334" s="56"/>
      <c r="D334" s="1"/>
      <c r="E334" s="1"/>
      <c r="F334" s="1"/>
      <c r="G334" s="49"/>
      <c r="H334" s="19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56"/>
      <c r="B335" s="56"/>
      <c r="C335" s="56"/>
      <c r="D335" s="1"/>
      <c r="E335" s="1"/>
      <c r="F335" s="1"/>
      <c r="G335" s="49"/>
      <c r="H335" s="19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56"/>
      <c r="B336" s="56"/>
      <c r="C336" s="56"/>
      <c r="D336" s="1"/>
      <c r="E336" s="1"/>
      <c r="F336" s="1"/>
      <c r="G336" s="49"/>
      <c r="H336" s="19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56"/>
      <c r="B337" s="56"/>
      <c r="C337" s="56"/>
      <c r="D337" s="1"/>
      <c r="E337" s="1"/>
      <c r="F337" s="1"/>
      <c r="G337" s="49"/>
      <c r="H337" s="19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56"/>
      <c r="B338" s="56"/>
      <c r="C338" s="56"/>
      <c r="D338" s="1"/>
      <c r="E338" s="1"/>
      <c r="F338" s="1"/>
      <c r="G338" s="49"/>
      <c r="H338" s="19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56"/>
      <c r="B339" s="56"/>
      <c r="C339" s="56"/>
      <c r="D339" s="1"/>
      <c r="E339" s="1"/>
      <c r="F339" s="1"/>
      <c r="G339" s="49"/>
      <c r="H339" s="19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56"/>
      <c r="B340" s="56"/>
      <c r="C340" s="56"/>
      <c r="D340" s="1"/>
      <c r="E340" s="1"/>
      <c r="F340" s="1"/>
      <c r="G340" s="49"/>
      <c r="H340" s="19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56"/>
      <c r="B341" s="56"/>
      <c r="C341" s="56"/>
      <c r="D341" s="1"/>
      <c r="E341" s="1"/>
      <c r="F341" s="1"/>
      <c r="G341" s="49"/>
      <c r="H341" s="19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56"/>
      <c r="B342" s="56"/>
      <c r="C342" s="56"/>
      <c r="D342" s="1"/>
      <c r="E342" s="1"/>
      <c r="F342" s="1"/>
      <c r="G342" s="49"/>
      <c r="H342" s="19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56"/>
      <c r="B343" s="56"/>
      <c r="C343" s="56"/>
      <c r="D343" s="1"/>
      <c r="E343" s="1"/>
      <c r="F343" s="1"/>
      <c r="G343" s="49"/>
      <c r="H343" s="19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56"/>
      <c r="B344" s="56"/>
      <c r="C344" s="56"/>
      <c r="D344" s="1"/>
      <c r="E344" s="1"/>
      <c r="F344" s="1"/>
      <c r="G344" s="49"/>
      <c r="H344" s="19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56"/>
      <c r="B345" s="56"/>
      <c r="C345" s="56"/>
      <c r="D345" s="1"/>
      <c r="E345" s="1"/>
      <c r="F345" s="1"/>
      <c r="G345" s="49"/>
      <c r="H345" s="19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56"/>
      <c r="B346" s="56"/>
      <c r="C346" s="56"/>
      <c r="D346" s="1"/>
      <c r="E346" s="1"/>
      <c r="F346" s="1"/>
      <c r="G346" s="49"/>
      <c r="H346" s="19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56"/>
      <c r="B347" s="56"/>
      <c r="C347" s="56"/>
      <c r="D347" s="1"/>
      <c r="E347" s="1"/>
      <c r="F347" s="1"/>
      <c r="G347" s="49"/>
      <c r="H347" s="19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56"/>
      <c r="B348" s="56"/>
      <c r="C348" s="56"/>
      <c r="D348" s="1"/>
      <c r="E348" s="1"/>
      <c r="F348" s="1"/>
      <c r="G348" s="49"/>
      <c r="H348" s="19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56"/>
      <c r="B349" s="56"/>
      <c r="C349" s="56"/>
      <c r="D349" s="1"/>
      <c r="E349" s="1"/>
      <c r="F349" s="1"/>
      <c r="G349" s="49"/>
      <c r="H349" s="19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56"/>
      <c r="B350" s="56"/>
      <c r="C350" s="56"/>
      <c r="D350" s="1"/>
      <c r="E350" s="1"/>
      <c r="F350" s="1"/>
      <c r="G350" s="49"/>
      <c r="H350" s="19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56"/>
      <c r="B351" s="56"/>
      <c r="C351" s="56"/>
      <c r="D351" s="1"/>
      <c r="E351" s="1"/>
      <c r="F351" s="1"/>
      <c r="G351" s="49"/>
      <c r="H351" s="19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56"/>
      <c r="B352" s="56"/>
      <c r="C352" s="56"/>
      <c r="D352" s="1"/>
      <c r="E352" s="1"/>
      <c r="F352" s="1"/>
      <c r="G352" s="49"/>
      <c r="H352" s="19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56"/>
      <c r="B353" s="56"/>
      <c r="C353" s="56"/>
      <c r="D353" s="1"/>
      <c r="E353" s="1"/>
      <c r="F353" s="1"/>
      <c r="G353" s="49"/>
      <c r="H353" s="19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56"/>
      <c r="B354" s="56"/>
      <c r="C354" s="56"/>
      <c r="D354" s="1"/>
      <c r="E354" s="1"/>
      <c r="F354" s="1"/>
      <c r="G354" s="49"/>
      <c r="H354" s="19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56"/>
      <c r="B355" s="56"/>
      <c r="C355" s="56"/>
      <c r="D355" s="1"/>
      <c r="E355" s="1"/>
      <c r="F355" s="1"/>
      <c r="G355" s="49"/>
      <c r="H355" s="19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56"/>
      <c r="B356" s="56"/>
      <c r="C356" s="56"/>
      <c r="D356" s="1"/>
      <c r="E356" s="1"/>
      <c r="F356" s="1"/>
      <c r="G356" s="49"/>
      <c r="H356" s="19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56"/>
      <c r="B357" s="56"/>
      <c r="C357" s="56"/>
      <c r="D357" s="1"/>
      <c r="E357" s="1"/>
      <c r="F357" s="1"/>
      <c r="G357" s="49"/>
      <c r="H357" s="19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56"/>
      <c r="B358" s="56"/>
      <c r="C358" s="56"/>
      <c r="D358" s="1"/>
      <c r="E358" s="1"/>
      <c r="F358" s="1"/>
      <c r="G358" s="49"/>
      <c r="H358" s="19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56"/>
      <c r="B359" s="56"/>
      <c r="C359" s="56"/>
      <c r="D359" s="1"/>
      <c r="E359" s="1"/>
      <c r="F359" s="1"/>
      <c r="G359" s="49"/>
      <c r="H359" s="19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56"/>
      <c r="B360" s="56"/>
      <c r="C360" s="56"/>
      <c r="D360" s="1"/>
      <c r="E360" s="1"/>
      <c r="F360" s="1"/>
      <c r="G360" s="49"/>
      <c r="H360" s="19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56"/>
      <c r="B361" s="56"/>
      <c r="C361" s="56"/>
      <c r="D361" s="1"/>
      <c r="E361" s="1"/>
      <c r="F361" s="1"/>
      <c r="G361" s="49"/>
      <c r="H361" s="19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56"/>
      <c r="B362" s="56"/>
      <c r="C362" s="56"/>
      <c r="D362" s="1"/>
      <c r="E362" s="1"/>
      <c r="F362" s="1"/>
      <c r="G362" s="49"/>
      <c r="H362" s="19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56"/>
      <c r="B363" s="56"/>
      <c r="C363" s="56"/>
      <c r="D363" s="1"/>
      <c r="E363" s="1"/>
      <c r="F363" s="1"/>
      <c r="G363" s="49"/>
      <c r="H363" s="19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56"/>
      <c r="B364" s="56"/>
      <c r="C364" s="56"/>
      <c r="D364" s="1"/>
      <c r="E364" s="1"/>
      <c r="F364" s="1"/>
      <c r="G364" s="49"/>
      <c r="H364" s="19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56"/>
      <c r="B365" s="56"/>
      <c r="C365" s="56"/>
      <c r="D365" s="1"/>
      <c r="E365" s="1"/>
      <c r="F365" s="1"/>
      <c r="G365" s="49"/>
      <c r="H365" s="19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56"/>
      <c r="B366" s="56"/>
      <c r="C366" s="56"/>
      <c r="D366" s="1"/>
      <c r="E366" s="1"/>
      <c r="F366" s="1"/>
      <c r="G366" s="49"/>
      <c r="H366" s="19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56"/>
      <c r="B367" s="56"/>
      <c r="C367" s="56"/>
      <c r="D367" s="1"/>
      <c r="E367" s="1"/>
      <c r="F367" s="1"/>
      <c r="G367" s="49"/>
      <c r="H367" s="19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56"/>
      <c r="B368" s="56"/>
      <c r="C368" s="56"/>
      <c r="D368" s="1"/>
      <c r="E368" s="1"/>
      <c r="F368" s="1"/>
      <c r="G368" s="49"/>
      <c r="H368" s="19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56"/>
      <c r="B369" s="56"/>
      <c r="C369" s="56"/>
      <c r="D369" s="1"/>
      <c r="E369" s="1"/>
      <c r="F369" s="1"/>
      <c r="G369" s="49"/>
      <c r="H369" s="19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56"/>
      <c r="B370" s="56"/>
      <c r="C370" s="56"/>
      <c r="D370" s="1"/>
      <c r="E370" s="1"/>
      <c r="F370" s="1"/>
      <c r="G370" s="49"/>
      <c r="H370" s="19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56"/>
      <c r="B371" s="56"/>
      <c r="C371" s="56"/>
      <c r="D371" s="1"/>
      <c r="E371" s="1"/>
      <c r="F371" s="1"/>
      <c r="G371" s="49"/>
      <c r="H371" s="19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56"/>
      <c r="B372" s="56"/>
      <c r="C372" s="56"/>
      <c r="D372" s="1"/>
      <c r="E372" s="1"/>
      <c r="F372" s="1"/>
      <c r="G372" s="49"/>
      <c r="H372" s="19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56"/>
      <c r="B373" s="56"/>
      <c r="C373" s="56"/>
      <c r="D373" s="1"/>
      <c r="E373" s="1"/>
      <c r="F373" s="1"/>
      <c r="G373" s="49"/>
      <c r="H373" s="19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56"/>
      <c r="B374" s="56"/>
      <c r="C374" s="56"/>
      <c r="D374" s="1"/>
      <c r="E374" s="1"/>
      <c r="F374" s="1"/>
      <c r="G374" s="49"/>
      <c r="H374" s="19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56"/>
      <c r="B375" s="56"/>
      <c r="C375" s="56"/>
      <c r="D375" s="1"/>
      <c r="E375" s="1"/>
      <c r="F375" s="1"/>
      <c r="G375" s="49"/>
      <c r="H375" s="19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56"/>
      <c r="B376" s="56"/>
      <c r="C376" s="56"/>
      <c r="D376" s="1"/>
      <c r="E376" s="1"/>
      <c r="F376" s="1"/>
      <c r="G376" s="49"/>
      <c r="H376" s="19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56"/>
      <c r="B377" s="56"/>
      <c r="C377" s="56"/>
      <c r="D377" s="1"/>
      <c r="E377" s="1"/>
      <c r="F377" s="1"/>
      <c r="G377" s="49"/>
      <c r="H377" s="19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56"/>
      <c r="B378" s="56"/>
      <c r="C378" s="56"/>
      <c r="D378" s="1"/>
      <c r="E378" s="1"/>
      <c r="F378" s="1"/>
      <c r="G378" s="49"/>
      <c r="H378" s="19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56"/>
      <c r="B379" s="56"/>
      <c r="C379" s="56"/>
      <c r="D379" s="1"/>
      <c r="E379" s="1"/>
      <c r="F379" s="1"/>
      <c r="G379" s="49"/>
      <c r="H379" s="19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56"/>
      <c r="B380" s="56"/>
      <c r="C380" s="56"/>
      <c r="D380" s="1"/>
      <c r="E380" s="1"/>
      <c r="F380" s="1"/>
      <c r="G380" s="49"/>
      <c r="H380" s="19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56"/>
      <c r="B381" s="56"/>
      <c r="C381" s="56"/>
      <c r="D381" s="1"/>
      <c r="E381" s="1"/>
      <c r="F381" s="1"/>
      <c r="G381" s="49"/>
      <c r="H381" s="19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56"/>
      <c r="B382" s="56"/>
      <c r="C382" s="56"/>
      <c r="D382" s="1"/>
      <c r="E382" s="1"/>
      <c r="F382" s="1"/>
      <c r="G382" s="49"/>
      <c r="H382" s="19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56"/>
      <c r="B383" s="56"/>
      <c r="C383" s="56"/>
      <c r="D383" s="1"/>
      <c r="E383" s="1"/>
      <c r="F383" s="1"/>
      <c r="G383" s="49"/>
      <c r="H383" s="19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56"/>
      <c r="B384" s="56"/>
      <c r="C384" s="56"/>
      <c r="D384" s="1"/>
      <c r="E384" s="1"/>
      <c r="F384" s="1"/>
      <c r="G384" s="49"/>
      <c r="H384" s="19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56"/>
      <c r="B385" s="56"/>
      <c r="C385" s="56"/>
      <c r="D385" s="1"/>
      <c r="E385" s="1"/>
      <c r="F385" s="1"/>
      <c r="G385" s="49"/>
      <c r="H385" s="19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56"/>
      <c r="B386" s="56"/>
      <c r="C386" s="56"/>
      <c r="D386" s="1"/>
      <c r="E386" s="1"/>
      <c r="F386" s="1"/>
      <c r="G386" s="49"/>
      <c r="H386" s="19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56"/>
      <c r="B387" s="56"/>
      <c r="C387" s="56"/>
      <c r="D387" s="1"/>
      <c r="E387" s="1"/>
      <c r="F387" s="1"/>
      <c r="G387" s="49"/>
      <c r="H387" s="19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56"/>
      <c r="B388" s="56"/>
      <c r="C388" s="56"/>
      <c r="D388" s="1"/>
      <c r="E388" s="1"/>
      <c r="F388" s="1"/>
      <c r="G388" s="49"/>
      <c r="H388" s="19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56"/>
      <c r="B389" s="56"/>
      <c r="C389" s="56"/>
      <c r="D389" s="1"/>
      <c r="E389" s="1"/>
      <c r="F389" s="1"/>
      <c r="G389" s="49"/>
      <c r="H389" s="19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56"/>
      <c r="B390" s="56"/>
      <c r="C390" s="56"/>
      <c r="D390" s="1"/>
      <c r="E390" s="1"/>
      <c r="F390" s="1"/>
      <c r="G390" s="49"/>
      <c r="H390" s="19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56"/>
      <c r="B391" s="56"/>
      <c r="C391" s="56"/>
      <c r="D391" s="1"/>
      <c r="E391" s="1"/>
      <c r="F391" s="1"/>
      <c r="G391" s="49"/>
      <c r="H391" s="19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56"/>
      <c r="B392" s="56"/>
      <c r="C392" s="56"/>
      <c r="D392" s="1"/>
      <c r="E392" s="1"/>
      <c r="F392" s="1"/>
      <c r="G392" s="49"/>
      <c r="H392" s="19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56"/>
      <c r="B393" s="56"/>
      <c r="C393" s="56"/>
      <c r="D393" s="1"/>
      <c r="E393" s="1"/>
      <c r="F393" s="1"/>
      <c r="G393" s="49"/>
      <c r="H393" s="19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56"/>
      <c r="B394" s="56"/>
      <c r="C394" s="56"/>
      <c r="D394" s="1"/>
      <c r="E394" s="1"/>
      <c r="F394" s="1"/>
      <c r="G394" s="49"/>
      <c r="H394" s="19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56"/>
      <c r="B395" s="56"/>
      <c r="C395" s="56"/>
      <c r="D395" s="1"/>
      <c r="E395" s="1"/>
      <c r="F395" s="1"/>
      <c r="G395" s="49"/>
      <c r="H395" s="19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56"/>
      <c r="B396" s="56"/>
      <c r="C396" s="56"/>
      <c r="D396" s="1"/>
      <c r="E396" s="1"/>
      <c r="F396" s="1"/>
      <c r="G396" s="49"/>
      <c r="H396" s="19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56"/>
      <c r="B397" s="56"/>
      <c r="C397" s="56"/>
      <c r="D397" s="1"/>
      <c r="E397" s="1"/>
      <c r="F397" s="1"/>
      <c r="G397" s="49"/>
      <c r="H397" s="19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56"/>
      <c r="B398" s="56"/>
      <c r="C398" s="56"/>
      <c r="D398" s="1"/>
      <c r="E398" s="1"/>
      <c r="F398" s="1"/>
      <c r="G398" s="49"/>
      <c r="H398" s="19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56"/>
      <c r="B399" s="56"/>
      <c r="C399" s="56"/>
      <c r="D399" s="1"/>
      <c r="E399" s="1"/>
      <c r="F399" s="1"/>
      <c r="G399" s="49"/>
      <c r="H399" s="19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56"/>
      <c r="B400" s="56"/>
      <c r="C400" s="56"/>
      <c r="D400" s="1"/>
      <c r="E400" s="1"/>
      <c r="F400" s="1"/>
      <c r="G400" s="49"/>
      <c r="H400" s="19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56"/>
      <c r="B401" s="56"/>
      <c r="C401" s="56"/>
      <c r="D401" s="1"/>
      <c r="E401" s="1"/>
      <c r="F401" s="1"/>
      <c r="G401" s="49"/>
      <c r="H401" s="19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56"/>
      <c r="B402" s="56"/>
      <c r="C402" s="56"/>
      <c r="D402" s="1"/>
      <c r="E402" s="1"/>
      <c r="F402" s="1"/>
      <c r="G402" s="49"/>
      <c r="H402" s="19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56"/>
      <c r="B403" s="56"/>
      <c r="C403" s="56"/>
      <c r="D403" s="1"/>
      <c r="E403" s="1"/>
      <c r="F403" s="1"/>
      <c r="G403" s="49"/>
      <c r="H403" s="19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56"/>
      <c r="B404" s="56"/>
      <c r="C404" s="56"/>
      <c r="D404" s="1"/>
      <c r="E404" s="1"/>
      <c r="F404" s="1"/>
      <c r="G404" s="49"/>
      <c r="H404" s="19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56"/>
      <c r="B405" s="56"/>
      <c r="C405" s="56"/>
      <c r="D405" s="1"/>
      <c r="E405" s="1"/>
      <c r="F405" s="1"/>
      <c r="G405" s="49"/>
      <c r="H405" s="19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56"/>
      <c r="B406" s="56"/>
      <c r="C406" s="56"/>
      <c r="D406" s="1"/>
      <c r="E406" s="1"/>
      <c r="F406" s="1"/>
      <c r="G406" s="49"/>
      <c r="H406" s="19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56"/>
      <c r="B407" s="56"/>
      <c r="C407" s="56"/>
      <c r="D407" s="1"/>
      <c r="E407" s="1"/>
      <c r="F407" s="1"/>
      <c r="G407" s="49"/>
      <c r="H407" s="19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56"/>
      <c r="B408" s="56"/>
      <c r="C408" s="56"/>
      <c r="D408" s="1"/>
      <c r="E408" s="1"/>
      <c r="F408" s="1"/>
      <c r="G408" s="49"/>
      <c r="H408" s="19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56"/>
      <c r="B409" s="56"/>
      <c r="C409" s="56"/>
      <c r="D409" s="1"/>
      <c r="E409" s="1"/>
      <c r="F409" s="1"/>
      <c r="G409" s="49"/>
      <c r="H409" s="19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56"/>
      <c r="B410" s="56"/>
      <c r="C410" s="56"/>
      <c r="D410" s="1"/>
      <c r="E410" s="1"/>
      <c r="F410" s="1"/>
      <c r="G410" s="49"/>
      <c r="H410" s="19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56"/>
      <c r="B411" s="56"/>
      <c r="C411" s="56"/>
      <c r="D411" s="1"/>
      <c r="E411" s="1"/>
      <c r="F411" s="1"/>
      <c r="G411" s="49"/>
      <c r="H411" s="19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56"/>
      <c r="B412" s="56"/>
      <c r="C412" s="56"/>
      <c r="D412" s="1"/>
      <c r="E412" s="1"/>
      <c r="F412" s="1"/>
      <c r="G412" s="49"/>
      <c r="H412" s="19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56"/>
      <c r="B413" s="56"/>
      <c r="C413" s="56"/>
      <c r="D413" s="1"/>
      <c r="E413" s="1"/>
      <c r="F413" s="1"/>
      <c r="G413" s="49"/>
      <c r="H413" s="19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56"/>
      <c r="B414" s="56"/>
      <c r="C414" s="56"/>
      <c r="D414" s="1"/>
      <c r="E414" s="1"/>
      <c r="F414" s="1"/>
      <c r="G414" s="49"/>
      <c r="H414" s="19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56"/>
      <c r="B415" s="56"/>
      <c r="C415" s="56"/>
      <c r="D415" s="1"/>
      <c r="E415" s="1"/>
      <c r="F415" s="1"/>
      <c r="G415" s="49"/>
      <c r="H415" s="19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56"/>
      <c r="B416" s="56"/>
      <c r="C416" s="56"/>
      <c r="D416" s="1"/>
      <c r="E416" s="1"/>
      <c r="F416" s="1"/>
      <c r="G416" s="49"/>
      <c r="H416" s="19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56"/>
      <c r="B417" s="56"/>
      <c r="C417" s="56"/>
      <c r="D417" s="1"/>
      <c r="E417" s="1"/>
      <c r="F417" s="1"/>
      <c r="G417" s="49"/>
      <c r="H417" s="19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56"/>
      <c r="B418" s="56"/>
      <c r="C418" s="56"/>
      <c r="D418" s="1"/>
      <c r="E418" s="1"/>
      <c r="F418" s="1"/>
      <c r="G418" s="49"/>
      <c r="H418" s="19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56"/>
      <c r="B419" s="56"/>
      <c r="C419" s="56"/>
      <c r="D419" s="1"/>
      <c r="E419" s="1"/>
      <c r="F419" s="1"/>
      <c r="G419" s="49"/>
      <c r="H419" s="19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56"/>
      <c r="B420" s="56"/>
      <c r="C420" s="56"/>
      <c r="D420" s="1"/>
      <c r="E420" s="1"/>
      <c r="F420" s="1"/>
      <c r="G420" s="49"/>
      <c r="H420" s="19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56"/>
      <c r="B421" s="56"/>
      <c r="C421" s="56"/>
      <c r="D421" s="1"/>
      <c r="E421" s="1"/>
      <c r="F421" s="1"/>
      <c r="G421" s="49"/>
      <c r="H421" s="19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56"/>
      <c r="B422" s="56"/>
      <c r="C422" s="56"/>
      <c r="D422" s="1"/>
      <c r="E422" s="1"/>
      <c r="F422" s="1"/>
      <c r="G422" s="49"/>
      <c r="H422" s="19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56"/>
      <c r="B423" s="56"/>
      <c r="C423" s="56"/>
      <c r="D423" s="1"/>
      <c r="E423" s="1"/>
      <c r="F423" s="1"/>
      <c r="G423" s="49"/>
      <c r="H423" s="19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56"/>
      <c r="B424" s="56"/>
      <c r="C424" s="56"/>
      <c r="D424" s="1"/>
      <c r="E424" s="1"/>
      <c r="F424" s="1"/>
      <c r="G424" s="49"/>
      <c r="H424" s="19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56"/>
      <c r="B425" s="56"/>
      <c r="C425" s="56"/>
      <c r="D425" s="1"/>
      <c r="E425" s="1"/>
      <c r="F425" s="1"/>
      <c r="G425" s="49"/>
      <c r="H425" s="19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56"/>
      <c r="B426" s="56"/>
      <c r="C426" s="56"/>
      <c r="D426" s="1"/>
      <c r="E426" s="1"/>
      <c r="F426" s="1"/>
      <c r="G426" s="49"/>
      <c r="H426" s="19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56"/>
      <c r="B427" s="56"/>
      <c r="C427" s="56"/>
      <c r="D427" s="1"/>
      <c r="E427" s="1"/>
      <c r="F427" s="1"/>
      <c r="G427" s="49"/>
      <c r="H427" s="19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56"/>
      <c r="B428" s="56"/>
      <c r="C428" s="56"/>
      <c r="D428" s="1"/>
      <c r="E428" s="1"/>
      <c r="F428" s="1"/>
      <c r="G428" s="49"/>
      <c r="H428" s="19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56"/>
      <c r="B429" s="56"/>
      <c r="C429" s="56"/>
      <c r="D429" s="1"/>
      <c r="E429" s="1"/>
      <c r="F429" s="1"/>
      <c r="G429" s="49"/>
      <c r="H429" s="19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56"/>
      <c r="B430" s="56"/>
      <c r="C430" s="56"/>
      <c r="D430" s="1"/>
      <c r="E430" s="1"/>
      <c r="F430" s="1"/>
      <c r="G430" s="49"/>
      <c r="H430" s="19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56"/>
      <c r="B431" s="56"/>
      <c r="C431" s="56"/>
      <c r="D431" s="1"/>
      <c r="E431" s="1"/>
      <c r="F431" s="1"/>
      <c r="G431" s="49"/>
      <c r="H431" s="19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56"/>
      <c r="B432" s="56"/>
      <c r="C432" s="56"/>
      <c r="D432" s="1"/>
      <c r="E432" s="1"/>
      <c r="F432" s="1"/>
      <c r="G432" s="49"/>
      <c r="H432" s="19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56"/>
      <c r="B433" s="56"/>
      <c r="C433" s="56"/>
      <c r="D433" s="1"/>
      <c r="E433" s="1"/>
      <c r="F433" s="1"/>
      <c r="G433" s="49"/>
      <c r="H433" s="19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56"/>
      <c r="B434" s="56"/>
      <c r="C434" s="56"/>
      <c r="D434" s="1"/>
      <c r="E434" s="1"/>
      <c r="F434" s="1"/>
      <c r="G434" s="49"/>
      <c r="H434" s="19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56"/>
      <c r="B435" s="56"/>
      <c r="C435" s="56"/>
      <c r="D435" s="1"/>
      <c r="E435" s="1"/>
      <c r="F435" s="1"/>
      <c r="G435" s="49"/>
      <c r="H435" s="19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56"/>
      <c r="B436" s="56"/>
      <c r="C436" s="56"/>
      <c r="D436" s="1"/>
      <c r="E436" s="1"/>
      <c r="F436" s="1"/>
      <c r="G436" s="49"/>
      <c r="H436" s="19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56"/>
      <c r="B437" s="56"/>
      <c r="C437" s="56"/>
      <c r="D437" s="1"/>
      <c r="E437" s="1"/>
      <c r="F437" s="1"/>
      <c r="G437" s="49"/>
      <c r="H437" s="19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56"/>
      <c r="B438" s="56"/>
      <c r="C438" s="56"/>
      <c r="D438" s="1"/>
      <c r="E438" s="1"/>
      <c r="F438" s="1"/>
      <c r="G438" s="49"/>
      <c r="H438" s="19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56"/>
      <c r="B439" s="56"/>
      <c r="C439" s="56"/>
      <c r="D439" s="1"/>
      <c r="E439" s="1"/>
      <c r="F439" s="1"/>
      <c r="G439" s="49"/>
      <c r="H439" s="19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56"/>
      <c r="B440" s="56"/>
      <c r="C440" s="56"/>
      <c r="D440" s="1"/>
      <c r="E440" s="1"/>
      <c r="F440" s="1"/>
      <c r="G440" s="49"/>
      <c r="H440" s="19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56"/>
      <c r="B441" s="56"/>
      <c r="C441" s="56"/>
      <c r="D441" s="1"/>
      <c r="E441" s="1"/>
      <c r="F441" s="1"/>
      <c r="G441" s="49"/>
      <c r="H441" s="19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56"/>
      <c r="B442" s="56"/>
      <c r="C442" s="56"/>
      <c r="D442" s="1"/>
      <c r="E442" s="1"/>
      <c r="F442" s="1"/>
      <c r="G442" s="49"/>
      <c r="H442" s="19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56"/>
      <c r="B443" s="56"/>
      <c r="C443" s="56"/>
      <c r="D443" s="1"/>
      <c r="E443" s="1"/>
      <c r="F443" s="1"/>
      <c r="G443" s="49"/>
      <c r="H443" s="19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56"/>
      <c r="B444" s="56"/>
      <c r="C444" s="56"/>
      <c r="D444" s="1"/>
      <c r="E444" s="1"/>
      <c r="F444" s="1"/>
      <c r="G444" s="49"/>
      <c r="H444" s="19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56"/>
      <c r="B445" s="56"/>
      <c r="C445" s="56"/>
      <c r="D445" s="1"/>
      <c r="E445" s="1"/>
      <c r="F445" s="1"/>
      <c r="G445" s="49"/>
      <c r="H445" s="19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56"/>
      <c r="B446" s="56"/>
      <c r="C446" s="56"/>
      <c r="D446" s="1"/>
      <c r="E446" s="1"/>
      <c r="F446" s="1"/>
      <c r="G446" s="49"/>
      <c r="H446" s="19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56"/>
      <c r="B447" s="56"/>
      <c r="C447" s="56"/>
      <c r="D447" s="1"/>
      <c r="E447" s="1"/>
      <c r="F447" s="1"/>
      <c r="G447" s="49"/>
      <c r="H447" s="19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56"/>
      <c r="B448" s="56"/>
      <c r="C448" s="56"/>
      <c r="D448" s="1"/>
      <c r="E448" s="1"/>
      <c r="F448" s="1"/>
      <c r="G448" s="49"/>
      <c r="H448" s="19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56"/>
      <c r="B449" s="56"/>
      <c r="C449" s="56"/>
      <c r="D449" s="1"/>
      <c r="E449" s="1"/>
      <c r="F449" s="1"/>
      <c r="G449" s="49"/>
      <c r="H449" s="19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56"/>
      <c r="B450" s="56"/>
      <c r="C450" s="56"/>
      <c r="D450" s="1"/>
      <c r="E450" s="1"/>
      <c r="F450" s="1"/>
      <c r="G450" s="49"/>
      <c r="H450" s="19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56"/>
      <c r="B451" s="56"/>
      <c r="C451" s="56"/>
      <c r="D451" s="1"/>
      <c r="E451" s="1"/>
      <c r="F451" s="1"/>
      <c r="G451" s="49"/>
      <c r="H451" s="19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56"/>
      <c r="B452" s="56"/>
      <c r="C452" s="56"/>
      <c r="D452" s="1"/>
      <c r="E452" s="1"/>
      <c r="F452" s="1"/>
      <c r="G452" s="49"/>
      <c r="H452" s="19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56"/>
      <c r="B453" s="56"/>
      <c r="C453" s="56"/>
      <c r="D453" s="1"/>
      <c r="E453" s="1"/>
      <c r="F453" s="1"/>
      <c r="G453" s="49"/>
      <c r="H453" s="19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56"/>
      <c r="B454" s="56"/>
      <c r="C454" s="56"/>
      <c r="D454" s="1"/>
      <c r="E454" s="1"/>
      <c r="F454" s="1"/>
      <c r="G454" s="49"/>
      <c r="H454" s="19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56"/>
      <c r="B455" s="56"/>
      <c r="C455" s="56"/>
      <c r="D455" s="1"/>
      <c r="E455" s="1"/>
      <c r="F455" s="1"/>
      <c r="G455" s="49"/>
      <c r="H455" s="19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56"/>
      <c r="B456" s="56"/>
      <c r="C456" s="56"/>
      <c r="D456" s="1"/>
      <c r="E456" s="1"/>
      <c r="F456" s="1"/>
      <c r="G456" s="49"/>
      <c r="H456" s="19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56"/>
      <c r="B457" s="56"/>
      <c r="C457" s="56"/>
      <c r="D457" s="1"/>
      <c r="E457" s="1"/>
      <c r="F457" s="1"/>
      <c r="G457" s="49"/>
      <c r="H457" s="19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56"/>
      <c r="B458" s="56"/>
      <c r="C458" s="56"/>
      <c r="D458" s="1"/>
      <c r="E458" s="1"/>
      <c r="F458" s="1"/>
      <c r="G458" s="49"/>
      <c r="H458" s="19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56"/>
      <c r="B459" s="56"/>
      <c r="C459" s="56"/>
      <c r="D459" s="1"/>
      <c r="E459" s="1"/>
      <c r="F459" s="1"/>
      <c r="G459" s="49"/>
      <c r="H459" s="19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56"/>
      <c r="B460" s="56"/>
      <c r="C460" s="56"/>
      <c r="D460" s="1"/>
      <c r="E460" s="1"/>
      <c r="F460" s="1"/>
      <c r="G460" s="49"/>
      <c r="H460" s="19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56"/>
      <c r="B461" s="56"/>
      <c r="C461" s="56"/>
      <c r="D461" s="1"/>
      <c r="E461" s="1"/>
      <c r="F461" s="1"/>
      <c r="G461" s="49"/>
      <c r="H461" s="19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56"/>
      <c r="B462" s="56"/>
      <c r="C462" s="56"/>
      <c r="D462" s="1"/>
      <c r="E462" s="1"/>
      <c r="F462" s="1"/>
      <c r="G462" s="49"/>
      <c r="H462" s="19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56"/>
      <c r="B463" s="56"/>
      <c r="C463" s="56"/>
      <c r="D463" s="1"/>
      <c r="E463" s="1"/>
      <c r="F463" s="1"/>
      <c r="G463" s="49"/>
      <c r="H463" s="19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56"/>
      <c r="B464" s="56"/>
      <c r="C464" s="56"/>
      <c r="D464" s="1"/>
      <c r="E464" s="1"/>
      <c r="F464" s="1"/>
      <c r="G464" s="49"/>
      <c r="H464" s="19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56"/>
      <c r="B465" s="56"/>
      <c r="C465" s="56"/>
      <c r="D465" s="1"/>
      <c r="E465" s="1"/>
      <c r="F465" s="1"/>
      <c r="G465" s="49"/>
      <c r="H465" s="19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56"/>
      <c r="B466" s="56"/>
      <c r="C466" s="56"/>
      <c r="D466" s="1"/>
      <c r="E466" s="1"/>
      <c r="F466" s="1"/>
      <c r="G466" s="49"/>
      <c r="H466" s="19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56"/>
      <c r="B467" s="56"/>
      <c r="C467" s="56"/>
      <c r="D467" s="1"/>
      <c r="E467" s="1"/>
      <c r="F467" s="1"/>
      <c r="G467" s="49"/>
      <c r="H467" s="19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56"/>
      <c r="B468" s="56"/>
      <c r="C468" s="56"/>
      <c r="D468" s="1"/>
      <c r="E468" s="1"/>
      <c r="F468" s="1"/>
      <c r="G468" s="49"/>
      <c r="H468" s="19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56"/>
      <c r="B469" s="56"/>
      <c r="C469" s="56"/>
      <c r="D469" s="1"/>
      <c r="E469" s="1"/>
      <c r="F469" s="1"/>
      <c r="G469" s="49"/>
      <c r="H469" s="19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56"/>
      <c r="B470" s="56"/>
      <c r="C470" s="56"/>
      <c r="D470" s="1"/>
      <c r="E470" s="1"/>
      <c r="F470" s="1"/>
      <c r="G470" s="49"/>
      <c r="H470" s="19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56"/>
      <c r="B471" s="56"/>
      <c r="C471" s="56"/>
      <c r="D471" s="1"/>
      <c r="E471" s="1"/>
      <c r="F471" s="1"/>
      <c r="G471" s="49"/>
      <c r="H471" s="19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56"/>
      <c r="B472" s="56"/>
      <c r="C472" s="56"/>
      <c r="D472" s="1"/>
      <c r="E472" s="1"/>
      <c r="F472" s="1"/>
      <c r="G472" s="49"/>
      <c r="H472" s="19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56"/>
      <c r="B473" s="56"/>
      <c r="C473" s="56"/>
      <c r="D473" s="1"/>
      <c r="E473" s="1"/>
      <c r="F473" s="1"/>
      <c r="G473" s="49"/>
      <c r="H473" s="19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56"/>
      <c r="B474" s="56"/>
      <c r="C474" s="56"/>
      <c r="D474" s="1"/>
      <c r="E474" s="1"/>
      <c r="F474" s="1"/>
      <c r="G474" s="49"/>
      <c r="H474" s="19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56"/>
      <c r="B475" s="56"/>
      <c r="C475" s="56"/>
      <c r="D475" s="1"/>
      <c r="E475" s="1"/>
      <c r="F475" s="1"/>
      <c r="G475" s="49"/>
      <c r="H475" s="19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56"/>
      <c r="B476" s="56"/>
      <c r="C476" s="56"/>
      <c r="D476" s="1"/>
      <c r="E476" s="1"/>
      <c r="F476" s="1"/>
      <c r="G476" s="49"/>
      <c r="H476" s="19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56"/>
      <c r="B477" s="56"/>
      <c r="C477" s="56"/>
      <c r="D477" s="1"/>
      <c r="E477" s="1"/>
      <c r="F477" s="1"/>
      <c r="G477" s="49"/>
      <c r="H477" s="19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56"/>
      <c r="B478" s="56"/>
      <c r="C478" s="56"/>
      <c r="D478" s="1"/>
      <c r="E478" s="1"/>
      <c r="F478" s="1"/>
      <c r="G478" s="49"/>
      <c r="H478" s="19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56"/>
      <c r="B479" s="56"/>
      <c r="C479" s="56"/>
      <c r="D479" s="1"/>
      <c r="E479" s="1"/>
      <c r="F479" s="1"/>
      <c r="G479" s="49"/>
      <c r="H479" s="19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56"/>
      <c r="B480" s="56"/>
      <c r="C480" s="56"/>
      <c r="D480" s="1"/>
      <c r="E480" s="1"/>
      <c r="F480" s="1"/>
      <c r="G480" s="49"/>
      <c r="H480" s="19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56"/>
      <c r="B481" s="56"/>
      <c r="C481" s="56"/>
      <c r="D481" s="1"/>
      <c r="E481" s="1"/>
      <c r="F481" s="1"/>
      <c r="G481" s="49"/>
      <c r="H481" s="19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56"/>
      <c r="B482" s="56"/>
      <c r="C482" s="56"/>
      <c r="D482" s="1"/>
      <c r="E482" s="1"/>
      <c r="F482" s="1"/>
      <c r="G482" s="49"/>
      <c r="H482" s="19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56"/>
      <c r="B483" s="56"/>
      <c r="C483" s="56"/>
      <c r="D483" s="1"/>
      <c r="E483" s="1"/>
      <c r="F483" s="1"/>
      <c r="G483" s="49"/>
      <c r="H483" s="19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56"/>
      <c r="B484" s="56"/>
      <c r="C484" s="56"/>
      <c r="D484" s="1"/>
      <c r="E484" s="1"/>
      <c r="F484" s="1"/>
      <c r="G484" s="49"/>
      <c r="H484" s="19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56"/>
      <c r="B485" s="56"/>
      <c r="C485" s="56"/>
      <c r="D485" s="1"/>
      <c r="E485" s="1"/>
      <c r="F485" s="1"/>
      <c r="G485" s="49"/>
      <c r="H485" s="19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56"/>
      <c r="B486" s="56"/>
      <c r="C486" s="56"/>
      <c r="D486" s="1"/>
      <c r="E486" s="1"/>
      <c r="F486" s="1"/>
      <c r="G486" s="49"/>
      <c r="H486" s="19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56"/>
      <c r="B487" s="56"/>
      <c r="C487" s="56"/>
      <c r="D487" s="1"/>
      <c r="E487" s="1"/>
      <c r="F487" s="1"/>
      <c r="G487" s="49"/>
      <c r="H487" s="19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56"/>
      <c r="B488" s="56"/>
      <c r="C488" s="56"/>
      <c r="D488" s="1"/>
      <c r="E488" s="1"/>
      <c r="F488" s="1"/>
      <c r="G488" s="49"/>
      <c r="H488" s="19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56"/>
      <c r="B489" s="56"/>
      <c r="C489" s="56"/>
      <c r="D489" s="1"/>
      <c r="E489" s="1"/>
      <c r="F489" s="1"/>
      <c r="G489" s="49"/>
      <c r="H489" s="19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56"/>
      <c r="B490" s="56"/>
      <c r="C490" s="56"/>
      <c r="D490" s="1"/>
      <c r="E490" s="1"/>
      <c r="F490" s="1"/>
      <c r="G490" s="49"/>
      <c r="H490" s="19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56"/>
      <c r="B491" s="56"/>
      <c r="C491" s="56"/>
      <c r="D491" s="1"/>
      <c r="E491" s="1"/>
      <c r="F491" s="1"/>
      <c r="G491" s="49"/>
      <c r="H491" s="19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56"/>
      <c r="B492" s="56"/>
      <c r="C492" s="56"/>
      <c r="D492" s="1"/>
      <c r="E492" s="1"/>
      <c r="F492" s="1"/>
      <c r="G492" s="49"/>
      <c r="H492" s="19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56"/>
      <c r="B493" s="56"/>
      <c r="C493" s="56"/>
      <c r="D493" s="1"/>
      <c r="E493" s="1"/>
      <c r="F493" s="1"/>
      <c r="G493" s="49"/>
      <c r="H493" s="19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56"/>
      <c r="B494" s="56"/>
      <c r="C494" s="56"/>
      <c r="D494" s="1"/>
      <c r="E494" s="1"/>
      <c r="F494" s="1"/>
      <c r="G494" s="49"/>
      <c r="H494" s="19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56"/>
      <c r="B495" s="56"/>
      <c r="C495" s="56"/>
      <c r="D495" s="1"/>
      <c r="E495" s="1"/>
      <c r="F495" s="1"/>
      <c r="G495" s="49"/>
      <c r="H495" s="19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56"/>
      <c r="B496" s="56"/>
      <c r="C496" s="56"/>
      <c r="D496" s="1"/>
      <c r="E496" s="1"/>
      <c r="F496" s="1"/>
      <c r="G496" s="49"/>
      <c r="H496" s="19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56"/>
      <c r="B497" s="56"/>
      <c r="C497" s="56"/>
      <c r="D497" s="1"/>
      <c r="E497" s="1"/>
      <c r="F497" s="1"/>
      <c r="G497" s="49"/>
      <c r="H497" s="19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56"/>
      <c r="B498" s="56"/>
      <c r="C498" s="56"/>
      <c r="D498" s="1"/>
      <c r="E498" s="1"/>
      <c r="F498" s="1"/>
      <c r="G498" s="49"/>
      <c r="H498" s="19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56"/>
      <c r="B499" s="56"/>
      <c r="C499" s="56"/>
      <c r="D499" s="1"/>
      <c r="E499" s="1"/>
      <c r="F499" s="1"/>
      <c r="G499" s="49"/>
      <c r="H499" s="19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56"/>
      <c r="B500" s="56"/>
      <c r="C500" s="56"/>
      <c r="D500" s="1"/>
      <c r="E500" s="1"/>
      <c r="F500" s="1"/>
      <c r="G500" s="49"/>
      <c r="H500" s="19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56"/>
      <c r="B501" s="56"/>
      <c r="C501" s="56"/>
      <c r="D501" s="1"/>
      <c r="E501" s="1"/>
      <c r="F501" s="1"/>
      <c r="G501" s="49"/>
      <c r="H501" s="19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56"/>
      <c r="B502" s="56"/>
      <c r="C502" s="56"/>
      <c r="D502" s="1"/>
      <c r="E502" s="1"/>
      <c r="F502" s="1"/>
      <c r="G502" s="49"/>
      <c r="H502" s="19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56"/>
      <c r="B503" s="56"/>
      <c r="C503" s="56"/>
      <c r="D503" s="1"/>
      <c r="E503" s="1"/>
      <c r="F503" s="1"/>
      <c r="G503" s="49"/>
      <c r="H503" s="19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56"/>
      <c r="B504" s="56"/>
      <c r="C504" s="56"/>
      <c r="D504" s="1"/>
      <c r="E504" s="1"/>
      <c r="F504" s="1"/>
      <c r="G504" s="49"/>
      <c r="H504" s="19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56"/>
      <c r="B505" s="56"/>
      <c r="C505" s="56"/>
      <c r="D505" s="1"/>
      <c r="E505" s="1"/>
      <c r="F505" s="1"/>
      <c r="G505" s="49"/>
      <c r="H505" s="19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56"/>
      <c r="B506" s="56"/>
      <c r="C506" s="56"/>
      <c r="D506" s="1"/>
      <c r="E506" s="1"/>
      <c r="F506" s="1"/>
      <c r="G506" s="49"/>
      <c r="H506" s="19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56"/>
      <c r="B507" s="56"/>
      <c r="C507" s="56"/>
      <c r="D507" s="1"/>
      <c r="E507" s="1"/>
      <c r="F507" s="1"/>
      <c r="G507" s="49"/>
      <c r="H507" s="19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56"/>
      <c r="B508" s="56"/>
      <c r="C508" s="56"/>
      <c r="D508" s="1"/>
      <c r="E508" s="1"/>
      <c r="F508" s="1"/>
      <c r="G508" s="49"/>
      <c r="H508" s="19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56"/>
      <c r="B509" s="56"/>
      <c r="C509" s="56"/>
      <c r="D509" s="1"/>
      <c r="E509" s="1"/>
      <c r="F509" s="1"/>
      <c r="G509" s="49"/>
      <c r="H509" s="19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56"/>
      <c r="B510" s="56"/>
      <c r="C510" s="56"/>
      <c r="D510" s="1"/>
      <c r="E510" s="1"/>
      <c r="F510" s="1"/>
      <c r="G510" s="49"/>
      <c r="H510" s="19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56"/>
      <c r="B511" s="56"/>
      <c r="C511" s="56"/>
      <c r="D511" s="1"/>
      <c r="E511" s="1"/>
      <c r="F511" s="1"/>
      <c r="G511" s="49"/>
      <c r="H511" s="19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56"/>
      <c r="B512" s="56"/>
      <c r="C512" s="56"/>
      <c r="D512" s="1"/>
      <c r="E512" s="1"/>
      <c r="F512" s="1"/>
      <c r="G512" s="49"/>
      <c r="H512" s="19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56"/>
      <c r="B513" s="56"/>
      <c r="C513" s="56"/>
      <c r="D513" s="1"/>
      <c r="E513" s="1"/>
      <c r="F513" s="1"/>
      <c r="G513" s="49"/>
      <c r="H513" s="19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56"/>
      <c r="B514" s="56"/>
      <c r="C514" s="56"/>
      <c r="D514" s="1"/>
      <c r="E514" s="1"/>
      <c r="F514" s="1"/>
      <c r="G514" s="49"/>
      <c r="H514" s="19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56"/>
      <c r="B515" s="56"/>
      <c r="C515" s="56"/>
      <c r="D515" s="1"/>
      <c r="E515" s="1"/>
      <c r="F515" s="1"/>
      <c r="G515" s="49"/>
      <c r="H515" s="19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56"/>
      <c r="B516" s="56"/>
      <c r="C516" s="56"/>
      <c r="D516" s="1"/>
      <c r="E516" s="1"/>
      <c r="F516" s="1"/>
      <c r="G516" s="49"/>
      <c r="H516" s="19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56"/>
      <c r="B517" s="56"/>
      <c r="C517" s="56"/>
      <c r="D517" s="1"/>
      <c r="E517" s="1"/>
      <c r="F517" s="1"/>
      <c r="G517" s="49"/>
      <c r="H517" s="19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56"/>
      <c r="B518" s="56"/>
      <c r="C518" s="56"/>
      <c r="D518" s="1"/>
      <c r="E518" s="1"/>
      <c r="F518" s="1"/>
      <c r="G518" s="49"/>
      <c r="H518" s="19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56"/>
      <c r="B519" s="56"/>
      <c r="C519" s="56"/>
      <c r="D519" s="1"/>
      <c r="E519" s="1"/>
      <c r="F519" s="1"/>
      <c r="G519" s="49"/>
      <c r="H519" s="19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56"/>
      <c r="B520" s="56"/>
      <c r="C520" s="56"/>
      <c r="D520" s="1"/>
      <c r="E520" s="1"/>
      <c r="F520" s="1"/>
      <c r="G520" s="49"/>
      <c r="H520" s="19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49"/>
      <c r="H521" s="19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49"/>
      <c r="H522" s="19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49"/>
      <c r="H523" s="19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49"/>
      <c r="H524" s="19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49"/>
      <c r="H525" s="19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49"/>
      <c r="H526" s="19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49"/>
      <c r="H527" s="19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49"/>
      <c r="H528" s="19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49"/>
      <c r="H529" s="19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49"/>
      <c r="H530" s="19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49"/>
      <c r="H531" s="19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49"/>
      <c r="H532" s="19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49"/>
      <c r="H533" s="19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49"/>
      <c r="H534" s="19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49"/>
      <c r="H535" s="19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49"/>
      <c r="H536" s="19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49"/>
      <c r="H537" s="19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49"/>
      <c r="H538" s="19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49"/>
      <c r="H539" s="19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49"/>
      <c r="H540" s="19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49"/>
      <c r="H541" s="19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49"/>
      <c r="H542" s="19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49"/>
      <c r="H543" s="19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49"/>
      <c r="H544" s="19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49"/>
      <c r="H545" s="19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49"/>
      <c r="H546" s="19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49"/>
      <c r="H547" s="19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49"/>
      <c r="H548" s="19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49"/>
      <c r="H549" s="19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49"/>
      <c r="H550" s="19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49"/>
      <c r="H551" s="19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49"/>
      <c r="H552" s="19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49"/>
      <c r="H553" s="19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49"/>
      <c r="H554" s="19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49"/>
      <c r="H555" s="19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49"/>
      <c r="H556" s="19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49"/>
      <c r="H557" s="19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49"/>
      <c r="H558" s="19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49"/>
      <c r="H559" s="19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49"/>
      <c r="H560" s="19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49"/>
      <c r="H561" s="19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49"/>
      <c r="H562" s="19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49"/>
      <c r="H563" s="19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49"/>
      <c r="H564" s="19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49"/>
      <c r="H565" s="19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49"/>
      <c r="H566" s="19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49"/>
      <c r="H567" s="19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49"/>
      <c r="H568" s="19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49"/>
      <c r="H569" s="19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49"/>
      <c r="H570" s="19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49"/>
      <c r="H571" s="19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49"/>
      <c r="H572" s="19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49"/>
      <c r="H573" s="19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49"/>
      <c r="H574" s="19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49"/>
      <c r="H575" s="19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49"/>
      <c r="H576" s="19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49"/>
      <c r="H577" s="19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49"/>
      <c r="H578" s="19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49"/>
      <c r="H579" s="19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49"/>
      <c r="H580" s="19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49"/>
      <c r="H581" s="19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49"/>
      <c r="H582" s="19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49"/>
      <c r="H583" s="19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49"/>
      <c r="H584" s="19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49"/>
      <c r="H585" s="19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49"/>
      <c r="H586" s="19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49"/>
      <c r="H587" s="19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49"/>
      <c r="H588" s="19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49"/>
      <c r="H589" s="19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49"/>
      <c r="H590" s="19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49"/>
      <c r="H591" s="19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49"/>
      <c r="H592" s="19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49"/>
      <c r="H593" s="19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49"/>
      <c r="H594" s="19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49"/>
      <c r="H595" s="19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49"/>
      <c r="H596" s="19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49"/>
      <c r="H597" s="19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49"/>
      <c r="H598" s="19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49"/>
      <c r="H599" s="19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49"/>
      <c r="H600" s="19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49"/>
      <c r="H601" s="19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49"/>
      <c r="H602" s="19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49"/>
      <c r="H603" s="19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49"/>
      <c r="H604" s="19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49"/>
      <c r="H605" s="19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49"/>
      <c r="H606" s="19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49"/>
      <c r="H607" s="19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49"/>
      <c r="H608" s="19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49"/>
      <c r="H609" s="19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49"/>
      <c r="H610" s="19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49"/>
      <c r="H611" s="19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49"/>
      <c r="H612" s="19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49"/>
      <c r="H613" s="19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49"/>
      <c r="H614" s="19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49"/>
      <c r="H615" s="19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49"/>
      <c r="H616" s="19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49"/>
      <c r="H617" s="19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49"/>
      <c r="H618" s="19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49"/>
      <c r="H619" s="19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49"/>
      <c r="H620" s="19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49"/>
      <c r="H621" s="19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49"/>
      <c r="H622" s="19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49"/>
      <c r="H623" s="19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49"/>
      <c r="H624" s="19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49"/>
      <c r="H625" s="19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49"/>
      <c r="H626" s="19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49"/>
      <c r="H627" s="19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49"/>
      <c r="H628" s="19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49"/>
      <c r="H629" s="19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49"/>
      <c r="H630" s="19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49"/>
      <c r="H631" s="19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49"/>
      <c r="H632" s="19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49"/>
      <c r="H633" s="19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49"/>
      <c r="H634" s="19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49"/>
      <c r="H635" s="19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49"/>
      <c r="H636" s="19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H637" s="214"/>
    </row>
    <row r="638">
      <c r="H638" s="214"/>
    </row>
    <row r="639">
      <c r="H639" s="214"/>
    </row>
    <row r="640">
      <c r="H640" s="214"/>
    </row>
    <row r="641">
      <c r="H641" s="214"/>
    </row>
    <row r="642">
      <c r="H642" s="214"/>
    </row>
    <row r="643">
      <c r="H643" s="214"/>
    </row>
    <row r="644">
      <c r="H644" s="214"/>
    </row>
    <row r="645">
      <c r="H645" s="214"/>
    </row>
    <row r="646">
      <c r="H646" s="214"/>
    </row>
    <row r="647">
      <c r="H647" s="214"/>
    </row>
    <row r="648">
      <c r="H648" s="214"/>
    </row>
    <row r="649">
      <c r="H649" s="214"/>
    </row>
    <row r="650">
      <c r="H650" s="214"/>
    </row>
    <row r="651">
      <c r="H651" s="214"/>
    </row>
    <row r="652">
      <c r="H652" s="214"/>
    </row>
    <row r="653">
      <c r="H653" s="214"/>
    </row>
    <row r="654">
      <c r="H654" s="214"/>
    </row>
    <row r="655">
      <c r="H655" s="214"/>
    </row>
    <row r="656">
      <c r="H656" s="214"/>
    </row>
    <row r="657">
      <c r="H657" s="214"/>
    </row>
    <row r="658">
      <c r="H658" s="214"/>
    </row>
    <row r="659">
      <c r="H659" s="214"/>
    </row>
    <row r="660">
      <c r="H660" s="214"/>
    </row>
    <row r="661">
      <c r="H661" s="214"/>
    </row>
    <row r="662">
      <c r="H662" s="214"/>
    </row>
    <row r="663">
      <c r="H663" s="214"/>
    </row>
    <row r="664">
      <c r="H664" s="214"/>
    </row>
    <row r="665">
      <c r="H665" s="214"/>
    </row>
    <row r="666">
      <c r="H666" s="214"/>
    </row>
    <row r="667">
      <c r="H667" s="214"/>
    </row>
    <row r="668">
      <c r="H668" s="214"/>
    </row>
    <row r="669">
      <c r="H669" s="214"/>
    </row>
    <row r="670">
      <c r="H670" s="214"/>
    </row>
    <row r="671">
      <c r="H671" s="214"/>
    </row>
    <row r="672">
      <c r="H672" s="214"/>
    </row>
    <row r="673">
      <c r="H673" s="214"/>
    </row>
    <row r="674">
      <c r="H674" s="214"/>
    </row>
    <row r="675">
      <c r="H675" s="214"/>
    </row>
    <row r="676">
      <c r="H676" s="214"/>
    </row>
    <row r="677">
      <c r="H677" s="214"/>
    </row>
    <row r="678">
      <c r="H678" s="214"/>
    </row>
    <row r="679">
      <c r="H679" s="214"/>
    </row>
    <row r="680">
      <c r="H680" s="214"/>
    </row>
    <row r="681">
      <c r="H681" s="214"/>
    </row>
    <row r="682">
      <c r="H682" s="214"/>
    </row>
    <row r="683">
      <c r="H683" s="214"/>
    </row>
    <row r="684">
      <c r="H684" s="214"/>
    </row>
    <row r="685">
      <c r="H685" s="214"/>
    </row>
    <row r="686">
      <c r="H686" s="214"/>
    </row>
    <row r="687">
      <c r="H687" s="214"/>
    </row>
    <row r="688">
      <c r="H688" s="214"/>
    </row>
    <row r="689">
      <c r="H689" s="214"/>
    </row>
    <row r="690">
      <c r="H690" s="214"/>
    </row>
    <row r="691">
      <c r="H691" s="214"/>
    </row>
    <row r="692">
      <c r="H692" s="214"/>
    </row>
    <row r="693">
      <c r="H693" s="214"/>
    </row>
    <row r="694">
      <c r="H694" s="214"/>
    </row>
    <row r="695">
      <c r="H695" s="214"/>
    </row>
    <row r="696">
      <c r="H696" s="214"/>
    </row>
    <row r="697">
      <c r="H697" s="214"/>
    </row>
    <row r="698">
      <c r="H698" s="214"/>
    </row>
    <row r="699">
      <c r="H699" s="214"/>
    </row>
    <row r="700">
      <c r="H700" s="214"/>
    </row>
    <row r="701">
      <c r="H701" s="214"/>
    </row>
    <row r="702">
      <c r="H702" s="214"/>
    </row>
    <row r="703">
      <c r="H703" s="214"/>
    </row>
    <row r="704">
      <c r="H704" s="214"/>
    </row>
    <row r="705">
      <c r="H705" s="214"/>
    </row>
    <row r="706">
      <c r="H706" s="214"/>
    </row>
    <row r="707">
      <c r="H707" s="214"/>
    </row>
    <row r="708">
      <c r="H708" s="214"/>
    </row>
    <row r="709">
      <c r="H709" s="214"/>
    </row>
    <row r="710">
      <c r="H710" s="214"/>
    </row>
    <row r="711">
      <c r="H711" s="214"/>
    </row>
    <row r="712">
      <c r="H712" s="214"/>
    </row>
    <row r="713">
      <c r="H713" s="214"/>
    </row>
    <row r="714">
      <c r="H714" s="214"/>
    </row>
    <row r="715">
      <c r="H715" s="214"/>
    </row>
    <row r="716">
      <c r="H716" s="214"/>
    </row>
    <row r="717">
      <c r="H717" s="214"/>
    </row>
    <row r="718">
      <c r="H718" s="214"/>
    </row>
    <row r="719">
      <c r="H719" s="214"/>
    </row>
    <row r="720">
      <c r="H720" s="214"/>
    </row>
    <row r="721">
      <c r="H721" s="214"/>
    </row>
    <row r="722">
      <c r="H722" s="214"/>
    </row>
    <row r="723">
      <c r="H723" s="214"/>
    </row>
    <row r="724">
      <c r="H724" s="214"/>
    </row>
    <row r="725">
      <c r="H725" s="214"/>
    </row>
    <row r="726">
      <c r="H726" s="214"/>
    </row>
    <row r="727">
      <c r="H727" s="214"/>
    </row>
    <row r="728">
      <c r="H728" s="214"/>
    </row>
    <row r="729">
      <c r="H729" s="214"/>
    </row>
    <row r="730">
      <c r="H730" s="214"/>
    </row>
    <row r="731">
      <c r="H731" s="214"/>
    </row>
    <row r="732">
      <c r="H732" s="214"/>
    </row>
    <row r="733">
      <c r="H733" s="214"/>
    </row>
    <row r="734">
      <c r="H734" s="214"/>
    </row>
    <row r="735">
      <c r="H735" s="214"/>
    </row>
    <row r="736">
      <c r="H736" s="214"/>
    </row>
    <row r="737">
      <c r="H737" s="214"/>
    </row>
    <row r="738">
      <c r="H738" s="214"/>
    </row>
    <row r="739">
      <c r="H739" s="214"/>
    </row>
    <row r="740">
      <c r="H740" s="214"/>
    </row>
    <row r="741">
      <c r="H741" s="214"/>
    </row>
    <row r="742">
      <c r="H742" s="214"/>
    </row>
    <row r="743">
      <c r="H743" s="214"/>
    </row>
    <row r="744">
      <c r="H744" s="214"/>
    </row>
    <row r="745">
      <c r="H745" s="214"/>
    </row>
    <row r="746">
      <c r="H746" s="214"/>
    </row>
    <row r="747">
      <c r="H747" s="214"/>
    </row>
    <row r="748">
      <c r="H748" s="214"/>
    </row>
    <row r="749">
      <c r="H749" s="214"/>
    </row>
    <row r="750">
      <c r="H750" s="214"/>
    </row>
    <row r="751">
      <c r="H751" s="214"/>
    </row>
    <row r="752">
      <c r="H752" s="214"/>
    </row>
    <row r="753">
      <c r="H753" s="214"/>
    </row>
    <row r="754">
      <c r="H754" s="214"/>
    </row>
    <row r="755">
      <c r="H755" s="214"/>
    </row>
    <row r="756">
      <c r="H756" s="214"/>
    </row>
    <row r="757">
      <c r="H757" s="214"/>
    </row>
    <row r="758">
      <c r="H758" s="214"/>
    </row>
    <row r="759">
      <c r="H759" s="214"/>
    </row>
    <row r="760">
      <c r="H760" s="214"/>
    </row>
    <row r="761">
      <c r="H761" s="214"/>
    </row>
    <row r="762">
      <c r="H762" s="214"/>
    </row>
    <row r="763">
      <c r="H763" s="214"/>
    </row>
    <row r="764">
      <c r="H764" s="214"/>
    </row>
    <row r="765">
      <c r="H765" s="214"/>
    </row>
    <row r="766">
      <c r="H766" s="214"/>
    </row>
    <row r="767">
      <c r="H767" s="214"/>
    </row>
    <row r="768">
      <c r="H768" s="214"/>
    </row>
    <row r="769">
      <c r="H769" s="214"/>
    </row>
    <row r="770">
      <c r="H770" s="214"/>
    </row>
    <row r="771">
      <c r="H771" s="214"/>
    </row>
    <row r="772">
      <c r="H772" s="214"/>
    </row>
    <row r="773">
      <c r="H773" s="214"/>
    </row>
    <row r="774">
      <c r="H774" s="214"/>
    </row>
    <row r="775">
      <c r="H775" s="214"/>
    </row>
    <row r="776">
      <c r="H776" s="214"/>
    </row>
    <row r="777">
      <c r="H777" s="214"/>
    </row>
    <row r="778">
      <c r="H778" s="214"/>
    </row>
    <row r="779">
      <c r="H779" s="214"/>
    </row>
    <row r="780">
      <c r="H780" s="214"/>
    </row>
    <row r="781">
      <c r="H781" s="214"/>
    </row>
    <row r="782">
      <c r="H782" s="214"/>
    </row>
    <row r="783">
      <c r="H783" s="214"/>
    </row>
    <row r="784">
      <c r="H784" s="214"/>
    </row>
    <row r="785">
      <c r="H785" s="214"/>
    </row>
    <row r="786">
      <c r="H786" s="214"/>
    </row>
    <row r="787">
      <c r="H787" s="214"/>
    </row>
    <row r="788">
      <c r="H788" s="214"/>
    </row>
    <row r="789">
      <c r="H789" s="214"/>
    </row>
    <row r="790">
      <c r="H790" s="214"/>
    </row>
    <row r="791">
      <c r="H791" s="214"/>
    </row>
    <row r="792">
      <c r="H792" s="214"/>
    </row>
    <row r="793">
      <c r="H793" s="214"/>
    </row>
    <row r="794">
      <c r="H794" s="214"/>
    </row>
    <row r="795">
      <c r="H795" s="214"/>
    </row>
    <row r="796">
      <c r="H796" s="214"/>
    </row>
    <row r="797">
      <c r="H797" s="214"/>
    </row>
    <row r="798">
      <c r="H798" s="214"/>
    </row>
    <row r="799">
      <c r="H799" s="214"/>
    </row>
    <row r="800">
      <c r="H800" s="214"/>
    </row>
    <row r="801">
      <c r="H801" s="214"/>
    </row>
    <row r="802">
      <c r="H802" s="214"/>
    </row>
    <row r="803">
      <c r="H803" s="214"/>
    </row>
    <row r="804">
      <c r="H804" s="214"/>
    </row>
    <row r="805">
      <c r="H805" s="214"/>
    </row>
    <row r="806">
      <c r="H806" s="214"/>
    </row>
    <row r="807">
      <c r="H807" s="214"/>
    </row>
    <row r="808">
      <c r="H808" s="214"/>
    </row>
    <row r="809">
      <c r="H809" s="214"/>
    </row>
    <row r="810">
      <c r="H810" s="214"/>
    </row>
    <row r="811">
      <c r="H811" s="214"/>
    </row>
    <row r="812">
      <c r="H812" s="214"/>
    </row>
    <row r="813">
      <c r="H813" s="214"/>
    </row>
    <row r="814">
      <c r="H814" s="214"/>
    </row>
    <row r="815">
      <c r="H815" s="214"/>
    </row>
    <row r="816">
      <c r="H816" s="214"/>
    </row>
    <row r="817">
      <c r="H817" s="214"/>
    </row>
    <row r="818">
      <c r="H818" s="214"/>
    </row>
    <row r="819">
      <c r="H819" s="214"/>
    </row>
    <row r="820">
      <c r="H820" s="214"/>
    </row>
    <row r="821">
      <c r="H821" s="214"/>
    </row>
    <row r="822">
      <c r="H822" s="214"/>
    </row>
    <row r="823">
      <c r="H823" s="214"/>
    </row>
    <row r="824">
      <c r="H824" s="214"/>
    </row>
    <row r="825">
      <c r="H825" s="214"/>
    </row>
    <row r="826">
      <c r="H826" s="214"/>
    </row>
    <row r="827">
      <c r="H827" s="214"/>
    </row>
    <row r="828">
      <c r="H828" s="214"/>
    </row>
    <row r="829">
      <c r="H829" s="214"/>
    </row>
    <row r="830">
      <c r="H830" s="214"/>
    </row>
    <row r="831">
      <c r="H831" s="214"/>
    </row>
    <row r="832">
      <c r="H832" s="214"/>
    </row>
    <row r="833">
      <c r="H833" s="214"/>
    </row>
    <row r="834">
      <c r="H834" s="214"/>
    </row>
    <row r="835">
      <c r="H835" s="214"/>
    </row>
    <row r="836">
      <c r="H836" s="214"/>
    </row>
    <row r="837">
      <c r="H837" s="214"/>
    </row>
    <row r="838">
      <c r="H838" s="214"/>
    </row>
    <row r="839">
      <c r="H839" s="214"/>
    </row>
    <row r="840">
      <c r="H840" s="214"/>
    </row>
    <row r="841">
      <c r="H841" s="214"/>
    </row>
    <row r="842">
      <c r="H842" s="214"/>
    </row>
    <row r="843">
      <c r="H843" s="214"/>
    </row>
    <row r="844">
      <c r="H844" s="214"/>
    </row>
    <row r="845">
      <c r="H845" s="214"/>
    </row>
    <row r="846">
      <c r="H846" s="214"/>
    </row>
    <row r="847">
      <c r="H847" s="214"/>
    </row>
    <row r="848">
      <c r="H848" s="214"/>
    </row>
    <row r="849">
      <c r="H849" s="214"/>
    </row>
    <row r="850">
      <c r="H850" s="214"/>
    </row>
    <row r="851">
      <c r="H851" s="214"/>
    </row>
    <row r="852">
      <c r="H852" s="214"/>
    </row>
    <row r="853">
      <c r="H853" s="214"/>
    </row>
    <row r="854">
      <c r="H854" s="214"/>
    </row>
    <row r="855">
      <c r="H855" s="214"/>
    </row>
    <row r="856">
      <c r="H856" s="214"/>
    </row>
    <row r="857">
      <c r="H857" s="214"/>
    </row>
    <row r="858">
      <c r="H858" s="214"/>
    </row>
    <row r="859">
      <c r="H859" s="214"/>
    </row>
    <row r="860">
      <c r="H860" s="214"/>
    </row>
    <row r="861">
      <c r="H861" s="214"/>
    </row>
    <row r="862">
      <c r="H862" s="214"/>
    </row>
    <row r="863">
      <c r="H863" s="214"/>
    </row>
    <row r="864">
      <c r="H864" s="214"/>
    </row>
    <row r="865">
      <c r="H865" s="214"/>
    </row>
    <row r="866">
      <c r="H866" s="214"/>
    </row>
    <row r="867">
      <c r="H867" s="214"/>
    </row>
    <row r="868">
      <c r="H868" s="214"/>
    </row>
    <row r="869">
      <c r="H869" s="214"/>
    </row>
    <row r="870">
      <c r="H870" s="214"/>
    </row>
    <row r="871">
      <c r="H871" s="214"/>
    </row>
    <row r="872">
      <c r="H872" s="214"/>
    </row>
    <row r="873">
      <c r="H873" s="214"/>
    </row>
    <row r="874">
      <c r="H874" s="214"/>
    </row>
    <row r="875">
      <c r="H875" s="214"/>
    </row>
    <row r="876">
      <c r="H876" s="214"/>
    </row>
    <row r="877">
      <c r="H877" s="214"/>
    </row>
    <row r="878">
      <c r="H878" s="214"/>
    </row>
    <row r="879">
      <c r="H879" s="214"/>
    </row>
    <row r="880">
      <c r="H880" s="214"/>
    </row>
    <row r="881">
      <c r="H881" s="214"/>
    </row>
    <row r="882">
      <c r="H882" s="214"/>
    </row>
    <row r="883">
      <c r="H883" s="214"/>
    </row>
    <row r="884">
      <c r="H884" s="214"/>
    </row>
    <row r="885">
      <c r="H885" s="214"/>
    </row>
    <row r="886">
      <c r="H886" s="214"/>
    </row>
    <row r="887">
      <c r="H887" s="214"/>
    </row>
    <row r="888">
      <c r="H888" s="214"/>
    </row>
    <row r="889">
      <c r="H889" s="214"/>
    </row>
    <row r="890">
      <c r="H890" s="214"/>
    </row>
    <row r="891">
      <c r="H891" s="214"/>
    </row>
    <row r="892">
      <c r="H892" s="214"/>
    </row>
    <row r="893">
      <c r="H893" s="214"/>
    </row>
    <row r="894">
      <c r="H894" s="214"/>
    </row>
    <row r="895">
      <c r="H895" s="214"/>
    </row>
    <row r="896">
      <c r="H896" s="214"/>
    </row>
    <row r="897">
      <c r="H897" s="214"/>
    </row>
    <row r="898">
      <c r="H898" s="214"/>
    </row>
    <row r="899">
      <c r="H899" s="214"/>
    </row>
    <row r="900">
      <c r="H900" s="214"/>
    </row>
    <row r="901">
      <c r="H901" s="214"/>
    </row>
    <row r="902">
      <c r="H902" s="214"/>
    </row>
    <row r="903">
      <c r="H903" s="214"/>
    </row>
    <row r="904">
      <c r="H904" s="214"/>
    </row>
    <row r="905">
      <c r="H905" s="214"/>
    </row>
    <row r="906">
      <c r="H906" s="214"/>
    </row>
    <row r="907">
      <c r="H907" s="214"/>
    </row>
    <row r="908">
      <c r="H908" s="214"/>
    </row>
    <row r="909">
      <c r="H909" s="214"/>
    </row>
    <row r="910">
      <c r="H910" s="214"/>
    </row>
    <row r="911">
      <c r="H911" s="214"/>
    </row>
    <row r="912">
      <c r="H912" s="214"/>
    </row>
    <row r="913">
      <c r="H913" s="214"/>
    </row>
    <row r="914">
      <c r="H914" s="214"/>
    </row>
    <row r="915">
      <c r="H915" s="214"/>
    </row>
    <row r="916">
      <c r="H916" s="214"/>
    </row>
    <row r="917">
      <c r="H917" s="214"/>
    </row>
    <row r="918">
      <c r="H918" s="214"/>
    </row>
    <row r="919">
      <c r="H919" s="214"/>
    </row>
    <row r="920">
      <c r="H920" s="214"/>
    </row>
    <row r="921">
      <c r="H921" s="214"/>
    </row>
    <row r="922">
      <c r="H922" s="214"/>
    </row>
    <row r="923">
      <c r="H923" s="214"/>
    </row>
    <row r="924">
      <c r="H924" s="214"/>
    </row>
    <row r="925">
      <c r="H925" s="214"/>
    </row>
    <row r="926">
      <c r="H926" s="214"/>
    </row>
    <row r="927">
      <c r="H927" s="214"/>
    </row>
    <row r="928">
      <c r="H928" s="214"/>
    </row>
    <row r="929">
      <c r="H929" s="214"/>
    </row>
    <row r="930">
      <c r="H930" s="214"/>
    </row>
    <row r="931">
      <c r="H931" s="214"/>
    </row>
    <row r="932">
      <c r="H932" s="214"/>
    </row>
    <row r="933">
      <c r="H933" s="214"/>
    </row>
    <row r="934">
      <c r="H934" s="214"/>
    </row>
    <row r="935">
      <c r="H935" s="214"/>
    </row>
    <row r="936">
      <c r="H936" s="214"/>
    </row>
    <row r="937">
      <c r="H937" s="214"/>
    </row>
    <row r="938">
      <c r="H938" s="214"/>
    </row>
    <row r="939">
      <c r="H939" s="214"/>
    </row>
    <row r="940">
      <c r="H940" s="214"/>
    </row>
    <row r="941">
      <c r="H941" s="214"/>
    </row>
    <row r="942">
      <c r="H942" s="214"/>
    </row>
    <row r="943">
      <c r="H943" s="214"/>
    </row>
    <row r="944">
      <c r="H944" s="214"/>
    </row>
    <row r="945">
      <c r="H945" s="214"/>
    </row>
    <row r="946">
      <c r="H946" s="214"/>
    </row>
    <row r="947">
      <c r="H947" s="214"/>
    </row>
    <row r="948">
      <c r="H948" s="214"/>
    </row>
    <row r="949">
      <c r="H949" s="214"/>
    </row>
    <row r="950">
      <c r="H950" s="214"/>
    </row>
    <row r="951">
      <c r="H951" s="214"/>
    </row>
    <row r="952">
      <c r="H952" s="214"/>
    </row>
    <row r="953">
      <c r="H953" s="214"/>
    </row>
    <row r="954">
      <c r="H954" s="214"/>
    </row>
    <row r="955">
      <c r="H955" s="214"/>
    </row>
    <row r="956">
      <c r="H956" s="214"/>
    </row>
    <row r="957">
      <c r="H957" s="214"/>
    </row>
    <row r="958">
      <c r="H958" s="214"/>
    </row>
    <row r="959">
      <c r="H959" s="214"/>
    </row>
    <row r="960">
      <c r="H960" s="214"/>
    </row>
    <row r="961">
      <c r="H961" s="214"/>
    </row>
    <row r="962">
      <c r="H962" s="214"/>
    </row>
    <row r="963">
      <c r="H963" s="214"/>
    </row>
    <row r="964">
      <c r="H964" s="214"/>
    </row>
    <row r="965">
      <c r="H965" s="214"/>
    </row>
    <row r="966">
      <c r="H966" s="214"/>
    </row>
    <row r="967">
      <c r="H967" s="214"/>
    </row>
    <row r="968">
      <c r="H968" s="214"/>
    </row>
    <row r="969">
      <c r="H969" s="214"/>
    </row>
    <row r="970">
      <c r="H970" s="214"/>
    </row>
    <row r="971">
      <c r="H971" s="214"/>
    </row>
    <row r="972">
      <c r="H972" s="214"/>
    </row>
    <row r="973">
      <c r="H973" s="214"/>
    </row>
    <row r="974">
      <c r="H974" s="214"/>
    </row>
    <row r="975">
      <c r="H975" s="214"/>
    </row>
    <row r="976">
      <c r="H976" s="214"/>
    </row>
    <row r="977">
      <c r="H977" s="214"/>
    </row>
    <row r="978">
      <c r="H978" s="214"/>
    </row>
    <row r="979">
      <c r="H979" s="214"/>
    </row>
    <row r="980">
      <c r="H980" s="214"/>
    </row>
    <row r="981">
      <c r="H981" s="214"/>
    </row>
    <row r="982">
      <c r="H982" s="214"/>
    </row>
    <row r="983">
      <c r="H983" s="214"/>
    </row>
    <row r="984">
      <c r="H984" s="214"/>
    </row>
    <row r="985">
      <c r="H985" s="214"/>
    </row>
    <row r="986">
      <c r="H986" s="214"/>
    </row>
    <row r="987">
      <c r="H987" s="214"/>
    </row>
    <row r="988">
      <c r="H988" s="214"/>
    </row>
    <row r="989">
      <c r="H989" s="214"/>
    </row>
    <row r="990">
      <c r="H990" s="214"/>
    </row>
    <row r="991">
      <c r="H991" s="214"/>
    </row>
    <row r="992">
      <c r="H992" s="214"/>
    </row>
    <row r="993">
      <c r="H993" s="214"/>
    </row>
    <row r="994">
      <c r="H994" s="214"/>
    </row>
    <row r="995">
      <c r="H995" s="214"/>
    </row>
    <row r="996">
      <c r="H996" s="214"/>
    </row>
    <row r="997">
      <c r="H997" s="214"/>
    </row>
    <row r="998">
      <c r="H998" s="214"/>
    </row>
    <row r="999">
      <c r="H999" s="214"/>
    </row>
    <row r="1000">
      <c r="H1000" s="214"/>
    </row>
  </sheetData>
  <mergeCells count="5">
    <mergeCell ref="A1:J1"/>
    <mergeCell ref="A4:C4"/>
    <mergeCell ref="D4:J4"/>
    <mergeCell ref="E13:H13"/>
    <mergeCell ref="I13:K13"/>
  </mergeCells>
  <dataValidations>
    <dataValidation type="list" allowBlank="1" showErrorMessage="1" sqref="G15:G29 I15:I29">
      <formula1>"0,0.25,0.50,0.75,1.0"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8.38"/>
    <col customWidth="1" min="3" max="3" width="34.63"/>
    <col customWidth="1" min="4" max="4" width="57.5"/>
    <col customWidth="1" min="5" max="5" width="14.38"/>
    <col customWidth="1" min="6" max="6" width="14.75"/>
    <col customWidth="1" min="7" max="7" width="12.25"/>
    <col customWidth="1" min="8" max="8" width="11.38"/>
    <col customWidth="1" min="9" max="9" width="13.0"/>
    <col customWidth="1" min="10" max="10" width="16.75"/>
    <col customWidth="1" min="11" max="11" width="23.88"/>
  </cols>
  <sheetData>
    <row r="1" ht="39.75" customHeight="1">
      <c r="A1" s="215" t="s">
        <v>445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B2" s="48"/>
      <c r="C2" s="48"/>
      <c r="D2" s="48"/>
      <c r="E2" s="1"/>
      <c r="F2" s="1"/>
      <c r="G2" s="49"/>
      <c r="H2" s="19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50"/>
      <c r="B3" s="50"/>
      <c r="C3" s="50"/>
      <c r="D3" s="1"/>
      <c r="E3" s="1"/>
      <c r="F3" s="1"/>
      <c r="G3" s="49"/>
      <c r="H3" s="19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16" t="s">
        <v>446</v>
      </c>
      <c r="B4" s="52"/>
      <c r="C4" s="53"/>
      <c r="D4" s="217" t="s">
        <v>447</v>
      </c>
      <c r="E4" s="52"/>
      <c r="F4" s="52"/>
      <c r="G4" s="52"/>
      <c r="H4" s="52"/>
      <c r="I4" s="52"/>
      <c r="J4" s="5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55"/>
      <c r="B5" s="56"/>
      <c r="C5" s="56"/>
      <c r="D5" s="1"/>
      <c r="E5" s="1"/>
      <c r="F5" s="1"/>
      <c r="G5" s="49"/>
      <c r="H5" s="19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8.0" customHeight="1">
      <c r="A6" s="57"/>
      <c r="B6" s="58"/>
      <c r="C6" s="59"/>
      <c r="D6" s="60"/>
      <c r="E6" s="61"/>
      <c r="F6" s="61"/>
      <c r="G6" s="62"/>
      <c r="H6" s="202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</row>
    <row r="7" ht="28.5" customHeight="1">
      <c r="A7" s="63" t="s">
        <v>126</v>
      </c>
      <c r="B7" s="64"/>
      <c r="C7" s="65"/>
      <c r="D7" s="60"/>
      <c r="E7" s="61"/>
      <c r="F7" s="61"/>
      <c r="G7" s="62"/>
      <c r="H7" s="202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</row>
    <row r="8" ht="28.5" customHeight="1">
      <c r="A8" s="66" t="s">
        <v>448</v>
      </c>
      <c r="B8" s="64"/>
      <c r="C8" s="65"/>
      <c r="D8" s="60"/>
      <c r="E8" s="61"/>
      <c r="F8" s="61"/>
      <c r="G8" s="62"/>
      <c r="H8" s="202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</row>
    <row r="9" ht="28.5" customHeight="1">
      <c r="A9" s="67"/>
      <c r="B9" s="68" t="s">
        <v>128</v>
      </c>
      <c r="C9" s="218">
        <f>H30</f>
        <v>200</v>
      </c>
      <c r="D9" s="1"/>
      <c r="E9" s="1"/>
      <c r="F9" s="1"/>
      <c r="G9" s="49"/>
      <c r="H9" s="19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8.5" customHeight="1">
      <c r="A10" s="67"/>
      <c r="B10" s="68" t="s">
        <v>129</v>
      </c>
      <c r="C10" s="70">
        <f>(C9/200)*100</f>
        <v>100</v>
      </c>
      <c r="D10" s="1"/>
      <c r="E10" s="1"/>
      <c r="F10" s="1"/>
      <c r="G10" s="49"/>
      <c r="H10" s="19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71"/>
      <c r="B11" s="72"/>
      <c r="C11" s="73"/>
      <c r="D11" s="1"/>
      <c r="E11" s="1"/>
      <c r="F11" s="1"/>
      <c r="G11" s="49"/>
      <c r="H11" s="19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56"/>
      <c r="B12" s="56"/>
      <c r="C12" s="56"/>
      <c r="D12" s="1"/>
      <c r="E12" s="1"/>
      <c r="F12" s="1"/>
      <c r="G12" s="49"/>
      <c r="H12" s="19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74"/>
      <c r="B13" s="74"/>
      <c r="C13" s="74"/>
      <c r="D13" s="74"/>
      <c r="E13" s="173" t="s">
        <v>134</v>
      </c>
      <c r="F13" s="85"/>
      <c r="G13" s="85"/>
      <c r="H13" s="86"/>
      <c r="I13" s="84" t="s">
        <v>135</v>
      </c>
      <c r="J13" s="85"/>
      <c r="K13" s="86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</row>
    <row r="14">
      <c r="A14" s="90" t="s">
        <v>130</v>
      </c>
      <c r="B14" s="174" t="s">
        <v>131</v>
      </c>
      <c r="C14" s="174" t="s">
        <v>132</v>
      </c>
      <c r="D14" s="175" t="s">
        <v>133</v>
      </c>
      <c r="E14" s="90" t="s">
        <v>136</v>
      </c>
      <c r="F14" s="91" t="s">
        <v>137</v>
      </c>
      <c r="G14" s="92" t="s">
        <v>138</v>
      </c>
      <c r="H14" s="205" t="s">
        <v>139</v>
      </c>
      <c r="I14" s="94" t="s">
        <v>140</v>
      </c>
      <c r="J14" s="95" t="s">
        <v>139</v>
      </c>
      <c r="K14" s="96" t="s">
        <v>141</v>
      </c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>
      <c r="A15" s="97" t="s">
        <v>449</v>
      </c>
      <c r="B15" s="98" t="s">
        <v>450</v>
      </c>
      <c r="C15" s="99" t="s">
        <v>451</v>
      </c>
      <c r="D15" s="100" t="s">
        <v>452</v>
      </c>
      <c r="E15" s="101"/>
      <c r="F15" s="102"/>
      <c r="G15" s="103">
        <v>1.0</v>
      </c>
      <c r="H15" s="219">
        <f t="shared" ref="H15:H29" si="1">G15*(200/15)</f>
        <v>13.33333333</v>
      </c>
      <c r="I15" s="105">
        <v>1.0</v>
      </c>
      <c r="J15" s="209">
        <f t="shared" ref="J15:J29" si="2">I15*(200/15)</f>
        <v>13.33333333</v>
      </c>
      <c r="K15" s="18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08"/>
      <c r="B16" s="109" t="s">
        <v>453</v>
      </c>
      <c r="C16" s="99" t="s">
        <v>454</v>
      </c>
      <c r="D16" s="100" t="s">
        <v>452</v>
      </c>
      <c r="E16" s="101"/>
      <c r="F16" s="102"/>
      <c r="G16" s="103">
        <v>1.0</v>
      </c>
      <c r="H16" s="219">
        <f t="shared" si="1"/>
        <v>13.33333333</v>
      </c>
      <c r="I16" s="105">
        <v>1.0</v>
      </c>
      <c r="J16" s="209">
        <f t="shared" si="2"/>
        <v>13.33333333</v>
      </c>
      <c r="K16" s="18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08"/>
      <c r="B17" s="109" t="s">
        <v>455</v>
      </c>
      <c r="C17" s="99" t="s">
        <v>456</v>
      </c>
      <c r="D17" s="100" t="s">
        <v>452</v>
      </c>
      <c r="E17" s="110"/>
      <c r="F17" s="111"/>
      <c r="G17" s="103">
        <v>1.0</v>
      </c>
      <c r="H17" s="219">
        <f t="shared" si="1"/>
        <v>13.33333333</v>
      </c>
      <c r="I17" s="105">
        <v>1.0</v>
      </c>
      <c r="J17" s="209">
        <f t="shared" si="2"/>
        <v>13.33333333</v>
      </c>
      <c r="K17" s="18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12"/>
      <c r="B18" s="109" t="s">
        <v>457</v>
      </c>
      <c r="C18" s="99" t="s">
        <v>458</v>
      </c>
      <c r="D18" s="113" t="s">
        <v>452</v>
      </c>
      <c r="E18" s="110"/>
      <c r="F18" s="111"/>
      <c r="G18" s="103">
        <v>1.0</v>
      </c>
      <c r="H18" s="219">
        <f t="shared" si="1"/>
        <v>13.33333333</v>
      </c>
      <c r="I18" s="105">
        <v>1.0</v>
      </c>
      <c r="J18" s="209">
        <f t="shared" si="2"/>
        <v>13.33333333</v>
      </c>
      <c r="K18" s="18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14"/>
      <c r="B19" s="109" t="s">
        <v>459</v>
      </c>
      <c r="C19" s="99" t="s">
        <v>460</v>
      </c>
      <c r="D19" s="100" t="s">
        <v>452</v>
      </c>
      <c r="E19" s="110"/>
      <c r="F19" s="111"/>
      <c r="G19" s="103">
        <v>1.0</v>
      </c>
      <c r="H19" s="219">
        <f t="shared" si="1"/>
        <v>13.33333333</v>
      </c>
      <c r="I19" s="105">
        <v>1.0</v>
      </c>
      <c r="J19" s="209">
        <f t="shared" si="2"/>
        <v>13.33333333</v>
      </c>
      <c r="K19" s="18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08"/>
      <c r="B20" s="109" t="s">
        <v>461</v>
      </c>
      <c r="C20" s="99" t="s">
        <v>462</v>
      </c>
      <c r="D20" s="100" t="s">
        <v>452</v>
      </c>
      <c r="E20" s="101"/>
      <c r="F20" s="102"/>
      <c r="G20" s="103">
        <v>1.0</v>
      </c>
      <c r="H20" s="219">
        <f t="shared" si="1"/>
        <v>13.33333333</v>
      </c>
      <c r="I20" s="105">
        <v>1.0</v>
      </c>
      <c r="J20" s="209">
        <f t="shared" si="2"/>
        <v>13.33333333</v>
      </c>
      <c r="K20" s="18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15"/>
      <c r="B21" s="109" t="s">
        <v>463</v>
      </c>
      <c r="C21" s="99" t="s">
        <v>464</v>
      </c>
      <c r="D21" s="100" t="s">
        <v>452</v>
      </c>
      <c r="E21" s="101"/>
      <c r="F21" s="102"/>
      <c r="G21" s="103">
        <v>1.0</v>
      </c>
      <c r="H21" s="219">
        <f t="shared" si="1"/>
        <v>13.33333333</v>
      </c>
      <c r="I21" s="105">
        <v>1.0</v>
      </c>
      <c r="J21" s="209">
        <f t="shared" si="2"/>
        <v>13.33333333</v>
      </c>
      <c r="K21" s="18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15"/>
      <c r="B22" s="109" t="s">
        <v>465</v>
      </c>
      <c r="C22" s="99" t="s">
        <v>466</v>
      </c>
      <c r="D22" s="100" t="s">
        <v>452</v>
      </c>
      <c r="E22" s="101"/>
      <c r="F22" s="102"/>
      <c r="G22" s="103">
        <v>1.0</v>
      </c>
      <c r="H22" s="219">
        <f t="shared" si="1"/>
        <v>13.33333333</v>
      </c>
      <c r="I22" s="105">
        <v>1.0</v>
      </c>
      <c r="J22" s="209">
        <f t="shared" si="2"/>
        <v>13.33333333</v>
      </c>
      <c r="K22" s="18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08"/>
      <c r="B23" s="109" t="s">
        <v>467</v>
      </c>
      <c r="C23" s="99" t="s">
        <v>468</v>
      </c>
      <c r="D23" s="100" t="s">
        <v>452</v>
      </c>
      <c r="E23" s="101"/>
      <c r="F23" s="102"/>
      <c r="G23" s="103">
        <v>1.0</v>
      </c>
      <c r="H23" s="219">
        <f t="shared" si="1"/>
        <v>13.33333333</v>
      </c>
      <c r="I23" s="105">
        <v>1.0</v>
      </c>
      <c r="J23" s="209">
        <f t="shared" si="2"/>
        <v>13.33333333</v>
      </c>
      <c r="K23" s="18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08"/>
      <c r="B24" s="109" t="s">
        <v>469</v>
      </c>
      <c r="C24" s="99" t="s">
        <v>470</v>
      </c>
      <c r="D24" s="100" t="s">
        <v>452</v>
      </c>
      <c r="E24" s="101"/>
      <c r="F24" s="102"/>
      <c r="G24" s="103">
        <v>1.0</v>
      </c>
      <c r="H24" s="219">
        <f t="shared" si="1"/>
        <v>13.33333333</v>
      </c>
      <c r="I24" s="105">
        <v>1.0</v>
      </c>
      <c r="J24" s="209">
        <f t="shared" si="2"/>
        <v>13.33333333</v>
      </c>
      <c r="K24" s="18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08"/>
      <c r="B25" s="109" t="s">
        <v>471</v>
      </c>
      <c r="C25" s="99" t="s">
        <v>472</v>
      </c>
      <c r="D25" s="100" t="s">
        <v>452</v>
      </c>
      <c r="E25" s="101"/>
      <c r="F25" s="102"/>
      <c r="G25" s="103">
        <v>1.0</v>
      </c>
      <c r="H25" s="219">
        <f t="shared" si="1"/>
        <v>13.33333333</v>
      </c>
      <c r="I25" s="105">
        <v>1.0</v>
      </c>
      <c r="J25" s="209">
        <f t="shared" si="2"/>
        <v>13.33333333</v>
      </c>
      <c r="K25" s="18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08"/>
      <c r="B26" s="109" t="s">
        <v>473</v>
      </c>
      <c r="C26" s="99" t="s">
        <v>474</v>
      </c>
      <c r="D26" s="100" t="s">
        <v>452</v>
      </c>
      <c r="E26" s="101"/>
      <c r="F26" s="102"/>
      <c r="G26" s="103">
        <v>1.0</v>
      </c>
      <c r="H26" s="219">
        <f t="shared" si="1"/>
        <v>13.33333333</v>
      </c>
      <c r="I26" s="105">
        <v>1.0</v>
      </c>
      <c r="J26" s="209">
        <f t="shared" si="2"/>
        <v>13.33333333</v>
      </c>
      <c r="K26" s="18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08"/>
      <c r="B27" s="109" t="s">
        <v>475</v>
      </c>
      <c r="C27" s="99" t="s">
        <v>476</v>
      </c>
      <c r="D27" s="100" t="s">
        <v>452</v>
      </c>
      <c r="E27" s="101"/>
      <c r="F27" s="102"/>
      <c r="G27" s="103">
        <v>1.0</v>
      </c>
      <c r="H27" s="219">
        <f t="shared" si="1"/>
        <v>13.33333333</v>
      </c>
      <c r="I27" s="105">
        <v>1.0</v>
      </c>
      <c r="J27" s="209">
        <f t="shared" si="2"/>
        <v>13.33333333</v>
      </c>
      <c r="K27" s="18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08"/>
      <c r="B28" s="109" t="s">
        <v>477</v>
      </c>
      <c r="C28" s="99" t="s">
        <v>478</v>
      </c>
      <c r="D28" s="100" t="s">
        <v>452</v>
      </c>
      <c r="E28" s="101"/>
      <c r="F28" s="102"/>
      <c r="G28" s="103">
        <v>1.0</v>
      </c>
      <c r="H28" s="219">
        <f t="shared" si="1"/>
        <v>13.33333333</v>
      </c>
      <c r="I28" s="105">
        <v>1.0</v>
      </c>
      <c r="J28" s="209">
        <f t="shared" si="2"/>
        <v>13.33333333</v>
      </c>
      <c r="K28" s="18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16"/>
      <c r="B29" s="117" t="s">
        <v>479</v>
      </c>
      <c r="C29" s="118" t="s">
        <v>480</v>
      </c>
      <c r="D29" s="119" t="s">
        <v>452</v>
      </c>
      <c r="E29" s="120"/>
      <c r="F29" s="121"/>
      <c r="G29" s="122">
        <v>1.0</v>
      </c>
      <c r="H29" s="220">
        <f t="shared" si="1"/>
        <v>13.33333333</v>
      </c>
      <c r="I29" s="124">
        <v>1.0</v>
      </c>
      <c r="J29" s="211">
        <f t="shared" si="2"/>
        <v>13.33333333</v>
      </c>
      <c r="K29" s="19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56"/>
      <c r="B30" s="56"/>
      <c r="C30" s="56"/>
      <c r="D30" s="127" t="s">
        <v>181</v>
      </c>
      <c r="E30" s="1"/>
      <c r="F30" s="1"/>
      <c r="G30" s="195">
        <f t="shared" ref="G30:J30" si="3">SUM(G15:G29)</f>
        <v>15</v>
      </c>
      <c r="H30" s="221">
        <f t="shared" si="3"/>
        <v>200</v>
      </c>
      <c r="I30" s="195">
        <f t="shared" si="3"/>
        <v>15</v>
      </c>
      <c r="J30" s="221">
        <f t="shared" si="3"/>
        <v>200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H31" s="214"/>
    </row>
    <row r="32">
      <c r="H32" s="214"/>
    </row>
    <row r="33">
      <c r="H33" s="214"/>
    </row>
    <row r="34">
      <c r="H34" s="214"/>
    </row>
    <row r="35">
      <c r="H35" s="214"/>
    </row>
    <row r="36">
      <c r="H36" s="214"/>
    </row>
    <row r="37">
      <c r="H37" s="214"/>
    </row>
    <row r="38">
      <c r="A38" s="56"/>
      <c r="B38" s="56"/>
      <c r="C38" s="56"/>
      <c r="D38" s="1"/>
      <c r="E38" s="1"/>
      <c r="F38" s="1"/>
      <c r="G38" s="49"/>
      <c r="H38" s="19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56"/>
      <c r="B39" s="56"/>
      <c r="C39" s="56"/>
      <c r="D39" s="1"/>
      <c r="E39" s="1"/>
      <c r="F39" s="1"/>
      <c r="G39" s="49"/>
      <c r="H39" s="19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56"/>
      <c r="B40" s="56"/>
      <c r="C40" s="56"/>
      <c r="D40" s="1"/>
      <c r="E40" s="1"/>
      <c r="F40" s="1"/>
      <c r="G40" s="49"/>
      <c r="H40" s="19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56"/>
      <c r="B41" s="56"/>
      <c r="C41" s="56"/>
      <c r="D41" s="1"/>
      <c r="E41" s="1"/>
      <c r="F41" s="1"/>
      <c r="G41" s="49"/>
      <c r="H41" s="19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56"/>
      <c r="B42" s="56"/>
      <c r="C42" s="56"/>
      <c r="D42" s="1"/>
      <c r="E42" s="1"/>
      <c r="F42" s="1"/>
      <c r="G42" s="49"/>
      <c r="H42" s="19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56"/>
      <c r="B43" s="56"/>
      <c r="C43" s="56"/>
      <c r="D43" s="1"/>
      <c r="E43" s="1"/>
      <c r="F43" s="1"/>
      <c r="G43" s="49"/>
      <c r="H43" s="19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56"/>
      <c r="B44" s="56"/>
      <c r="C44" s="56"/>
      <c r="E44" s="1"/>
      <c r="F44" s="1"/>
      <c r="G44" s="49"/>
      <c r="H44" s="19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56"/>
      <c r="B45" s="56"/>
      <c r="C45" s="56"/>
      <c r="D45" s="1"/>
      <c r="E45" s="1"/>
      <c r="F45" s="1"/>
      <c r="G45" s="49"/>
      <c r="H45" s="19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56"/>
      <c r="B46" s="56"/>
      <c r="C46" s="56"/>
      <c r="D46" s="1"/>
      <c r="E46" s="1"/>
      <c r="F46" s="1"/>
      <c r="G46" s="49"/>
      <c r="H46" s="19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56"/>
      <c r="B47" s="56"/>
      <c r="C47" s="56"/>
      <c r="D47" s="1"/>
      <c r="E47" s="1"/>
      <c r="F47" s="1"/>
      <c r="G47" s="49"/>
      <c r="H47" s="19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56"/>
      <c r="B48" s="56"/>
      <c r="C48" s="56"/>
      <c r="D48" s="1"/>
      <c r="E48" s="1"/>
      <c r="F48" s="1"/>
      <c r="G48" s="49"/>
      <c r="H48" s="19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56"/>
      <c r="B49" s="56"/>
      <c r="C49" s="56"/>
      <c r="D49" s="1"/>
      <c r="E49" s="1"/>
      <c r="F49" s="1"/>
      <c r="G49" s="49"/>
      <c r="H49" s="19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56"/>
      <c r="B50" s="56"/>
      <c r="C50" s="56"/>
      <c r="D50" s="1"/>
      <c r="E50" s="1"/>
      <c r="F50" s="1"/>
      <c r="G50" s="49"/>
      <c r="H50" s="19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56"/>
      <c r="B51" s="56"/>
      <c r="C51" s="56"/>
      <c r="D51" s="1"/>
      <c r="E51" s="1"/>
      <c r="F51" s="1"/>
      <c r="G51" s="49"/>
      <c r="H51" s="19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56"/>
      <c r="B52" s="56"/>
      <c r="C52" s="56"/>
      <c r="D52" s="1"/>
      <c r="E52" s="1"/>
      <c r="F52" s="1"/>
      <c r="G52" s="49"/>
      <c r="H52" s="19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56"/>
      <c r="B53" s="56"/>
      <c r="C53" s="56"/>
      <c r="D53" s="1"/>
      <c r="E53" s="1"/>
      <c r="F53" s="1"/>
      <c r="G53" s="49"/>
      <c r="H53" s="19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56"/>
      <c r="B54" s="56"/>
      <c r="C54" s="56"/>
      <c r="D54" s="1"/>
      <c r="E54" s="1"/>
      <c r="F54" s="1"/>
      <c r="G54" s="49"/>
      <c r="H54" s="19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56"/>
      <c r="B55" s="56"/>
      <c r="C55" s="56"/>
      <c r="D55" s="1"/>
      <c r="E55" s="1"/>
      <c r="F55" s="1"/>
      <c r="G55" s="49"/>
      <c r="H55" s="19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56"/>
      <c r="B56" s="56"/>
      <c r="C56" s="56"/>
      <c r="D56" s="1"/>
      <c r="E56" s="1"/>
      <c r="F56" s="1"/>
      <c r="G56" s="49"/>
      <c r="H56" s="19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56"/>
      <c r="B57" s="56"/>
      <c r="C57" s="56"/>
      <c r="D57" s="1"/>
      <c r="E57" s="1"/>
      <c r="F57" s="1"/>
      <c r="G57" s="49"/>
      <c r="H57" s="19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56"/>
      <c r="B58" s="56"/>
      <c r="C58" s="56"/>
      <c r="D58" s="1"/>
      <c r="E58" s="1"/>
      <c r="F58" s="1"/>
      <c r="G58" s="49"/>
      <c r="H58" s="19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56"/>
      <c r="B59" s="56"/>
      <c r="C59" s="56"/>
      <c r="D59" s="1"/>
      <c r="E59" s="1"/>
      <c r="F59" s="1"/>
      <c r="G59" s="49"/>
      <c r="H59" s="19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56"/>
      <c r="B60" s="56"/>
      <c r="C60" s="56"/>
      <c r="D60" s="1"/>
      <c r="E60" s="1"/>
      <c r="F60" s="1"/>
      <c r="G60" s="49"/>
      <c r="H60" s="19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56"/>
      <c r="B61" s="56"/>
      <c r="C61" s="56"/>
      <c r="D61" s="1"/>
      <c r="E61" s="1"/>
      <c r="F61" s="1"/>
      <c r="G61" s="49"/>
      <c r="H61" s="19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56"/>
      <c r="B62" s="56"/>
      <c r="C62" s="56"/>
      <c r="D62" s="1"/>
      <c r="E62" s="1"/>
      <c r="F62" s="1"/>
      <c r="G62" s="49"/>
      <c r="H62" s="19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56"/>
      <c r="B63" s="56"/>
      <c r="C63" s="56"/>
      <c r="D63" s="1"/>
      <c r="E63" s="1"/>
      <c r="F63" s="1"/>
      <c r="G63" s="49"/>
      <c r="H63" s="19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56"/>
      <c r="B64" s="56"/>
      <c r="C64" s="56"/>
      <c r="D64" s="1"/>
      <c r="E64" s="1"/>
      <c r="F64" s="1"/>
      <c r="G64" s="49"/>
      <c r="H64" s="19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56"/>
      <c r="B65" s="56"/>
      <c r="C65" s="56"/>
      <c r="D65" s="1"/>
      <c r="E65" s="1"/>
      <c r="F65" s="1"/>
      <c r="G65" s="49"/>
      <c r="H65" s="19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56"/>
      <c r="B66" s="56"/>
      <c r="C66" s="56"/>
      <c r="D66" s="1"/>
      <c r="E66" s="1"/>
      <c r="F66" s="1"/>
      <c r="G66" s="49"/>
      <c r="H66" s="19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56"/>
      <c r="B67" s="56"/>
      <c r="C67" s="56"/>
      <c r="D67" s="1"/>
      <c r="E67" s="1"/>
      <c r="F67" s="1"/>
      <c r="G67" s="49"/>
      <c r="H67" s="19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56"/>
      <c r="B68" s="56"/>
      <c r="C68" s="56"/>
      <c r="D68" s="1"/>
      <c r="E68" s="1"/>
      <c r="F68" s="1"/>
      <c r="G68" s="49"/>
      <c r="H68" s="19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56"/>
      <c r="B69" s="56"/>
      <c r="C69" s="56"/>
      <c r="D69" s="1"/>
      <c r="E69" s="1"/>
      <c r="F69" s="1"/>
      <c r="G69" s="49"/>
      <c r="H69" s="19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56"/>
      <c r="B70" s="56"/>
      <c r="C70" s="56"/>
      <c r="D70" s="1"/>
      <c r="E70" s="1"/>
      <c r="F70" s="1"/>
      <c r="G70" s="49"/>
      <c r="H70" s="19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56"/>
      <c r="B71" s="56"/>
      <c r="C71" s="56"/>
      <c r="D71" s="1"/>
      <c r="E71" s="1"/>
      <c r="F71" s="1"/>
      <c r="G71" s="49"/>
      <c r="H71" s="19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56"/>
      <c r="B72" s="56"/>
      <c r="C72" s="56"/>
      <c r="D72" s="1"/>
      <c r="E72" s="1"/>
      <c r="F72" s="1"/>
      <c r="G72" s="49"/>
      <c r="H72" s="19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56"/>
      <c r="B73" s="56"/>
      <c r="C73" s="56"/>
      <c r="D73" s="1"/>
      <c r="E73" s="1"/>
      <c r="F73" s="1"/>
      <c r="G73" s="49"/>
      <c r="H73" s="19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56"/>
      <c r="B74" s="56"/>
      <c r="C74" s="56"/>
      <c r="D74" s="1"/>
      <c r="E74" s="1"/>
      <c r="F74" s="1"/>
      <c r="G74" s="49"/>
      <c r="H74" s="19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56"/>
      <c r="B75" s="56"/>
      <c r="C75" s="56"/>
      <c r="D75" s="1"/>
      <c r="E75" s="1"/>
      <c r="F75" s="1"/>
      <c r="G75" s="49"/>
      <c r="H75" s="19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56"/>
      <c r="B76" s="56"/>
      <c r="C76" s="56"/>
      <c r="D76" s="1"/>
      <c r="E76" s="1"/>
      <c r="F76" s="1"/>
      <c r="G76" s="49"/>
      <c r="H76" s="19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56"/>
      <c r="B77" s="56"/>
      <c r="C77" s="56"/>
      <c r="D77" s="1"/>
      <c r="E77" s="1"/>
      <c r="F77" s="1"/>
      <c r="G77" s="49"/>
      <c r="H77" s="19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56"/>
      <c r="B78" s="56"/>
      <c r="C78" s="56"/>
      <c r="D78" s="1"/>
      <c r="E78" s="1"/>
      <c r="F78" s="1"/>
      <c r="G78" s="49"/>
      <c r="H78" s="19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56"/>
      <c r="B79" s="56"/>
      <c r="C79" s="56"/>
      <c r="D79" s="1"/>
      <c r="E79" s="1"/>
      <c r="F79" s="1"/>
      <c r="G79" s="49"/>
      <c r="H79" s="19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56"/>
      <c r="B80" s="56"/>
      <c r="C80" s="56"/>
      <c r="D80" s="1"/>
      <c r="E80" s="1"/>
      <c r="F80" s="1"/>
      <c r="G80" s="49"/>
      <c r="H80" s="19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56"/>
      <c r="B81" s="56"/>
      <c r="C81" s="56"/>
      <c r="D81" s="1"/>
      <c r="E81" s="1"/>
      <c r="F81" s="1"/>
      <c r="G81" s="49"/>
      <c r="H81" s="19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56"/>
      <c r="B82" s="56"/>
      <c r="C82" s="56"/>
      <c r="D82" s="1"/>
      <c r="E82" s="1"/>
      <c r="F82" s="1"/>
      <c r="G82" s="49"/>
      <c r="H82" s="19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56"/>
      <c r="B83" s="56"/>
      <c r="C83" s="56"/>
      <c r="D83" s="1"/>
      <c r="E83" s="1"/>
      <c r="F83" s="1"/>
      <c r="G83" s="49"/>
      <c r="H83" s="19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56"/>
      <c r="B84" s="56"/>
      <c r="C84" s="56"/>
      <c r="D84" s="1"/>
      <c r="E84" s="1"/>
      <c r="F84" s="1"/>
      <c r="G84" s="49"/>
      <c r="H84" s="19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56"/>
      <c r="B85" s="56"/>
      <c r="C85" s="56"/>
      <c r="D85" s="1"/>
      <c r="E85" s="1"/>
      <c r="F85" s="1"/>
      <c r="G85" s="49"/>
      <c r="H85" s="19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56"/>
      <c r="B86" s="56"/>
      <c r="C86" s="56"/>
      <c r="D86" s="1"/>
      <c r="E86" s="1"/>
      <c r="F86" s="1"/>
      <c r="G86" s="49"/>
      <c r="H86" s="19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56"/>
      <c r="B87" s="56"/>
      <c r="C87" s="56"/>
      <c r="D87" s="1"/>
      <c r="E87" s="1"/>
      <c r="F87" s="1"/>
      <c r="G87" s="49"/>
      <c r="H87" s="19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56"/>
      <c r="B88" s="56"/>
      <c r="C88" s="56"/>
      <c r="D88" s="1"/>
      <c r="E88" s="1"/>
      <c r="F88" s="1"/>
      <c r="G88" s="49"/>
      <c r="H88" s="19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56"/>
      <c r="B89" s="56"/>
      <c r="C89" s="56"/>
      <c r="D89" s="1"/>
      <c r="E89" s="1"/>
      <c r="F89" s="1"/>
      <c r="G89" s="49"/>
      <c r="H89" s="19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56"/>
      <c r="B90" s="56"/>
      <c r="C90" s="56"/>
      <c r="D90" s="1"/>
      <c r="E90" s="1"/>
      <c r="F90" s="1"/>
      <c r="G90" s="49"/>
      <c r="H90" s="19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56"/>
      <c r="B91" s="56"/>
      <c r="C91" s="56"/>
      <c r="D91" s="1"/>
      <c r="E91" s="1"/>
      <c r="F91" s="1"/>
      <c r="G91" s="49"/>
      <c r="H91" s="19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56"/>
      <c r="B92" s="56"/>
      <c r="C92" s="56"/>
      <c r="D92" s="1"/>
      <c r="E92" s="1"/>
      <c r="F92" s="1"/>
      <c r="G92" s="49"/>
      <c r="H92" s="19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56"/>
      <c r="B93" s="56"/>
      <c r="C93" s="56"/>
      <c r="D93" s="1"/>
      <c r="E93" s="1"/>
      <c r="F93" s="1"/>
      <c r="G93" s="49"/>
      <c r="H93" s="19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56"/>
      <c r="B94" s="56"/>
      <c r="C94" s="56"/>
      <c r="D94" s="1"/>
      <c r="E94" s="1"/>
      <c r="F94" s="1"/>
      <c r="G94" s="49"/>
      <c r="H94" s="19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56"/>
      <c r="B95" s="56"/>
      <c r="C95" s="56"/>
      <c r="D95" s="1"/>
      <c r="E95" s="1"/>
      <c r="F95" s="1"/>
      <c r="G95" s="49"/>
      <c r="H95" s="19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56"/>
      <c r="B96" s="56"/>
      <c r="C96" s="56"/>
      <c r="D96" s="1"/>
      <c r="E96" s="1"/>
      <c r="F96" s="1"/>
      <c r="G96" s="49"/>
      <c r="H96" s="19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56"/>
      <c r="B97" s="56"/>
      <c r="C97" s="56"/>
      <c r="D97" s="1"/>
      <c r="E97" s="1"/>
      <c r="F97" s="1"/>
      <c r="G97" s="49"/>
      <c r="H97" s="19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56"/>
      <c r="B98" s="56"/>
      <c r="C98" s="56"/>
      <c r="D98" s="1"/>
      <c r="E98" s="1"/>
      <c r="F98" s="1"/>
      <c r="G98" s="49"/>
      <c r="H98" s="19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56"/>
      <c r="B99" s="56"/>
      <c r="C99" s="56"/>
      <c r="D99" s="1"/>
      <c r="E99" s="1"/>
      <c r="F99" s="1"/>
      <c r="G99" s="49"/>
      <c r="H99" s="19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56"/>
      <c r="B100" s="56"/>
      <c r="C100" s="56"/>
      <c r="D100" s="1"/>
      <c r="E100" s="1"/>
      <c r="F100" s="1"/>
      <c r="G100" s="49"/>
      <c r="H100" s="19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56"/>
      <c r="B101" s="56"/>
      <c r="C101" s="56"/>
      <c r="D101" s="1"/>
      <c r="E101" s="1"/>
      <c r="F101" s="1"/>
      <c r="G101" s="49"/>
      <c r="H101" s="19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56"/>
      <c r="B102" s="56"/>
      <c r="C102" s="56"/>
      <c r="D102" s="1"/>
      <c r="E102" s="1"/>
      <c r="F102" s="1"/>
      <c r="G102" s="49"/>
      <c r="H102" s="19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56"/>
      <c r="B103" s="56"/>
      <c r="C103" s="56"/>
      <c r="D103" s="1"/>
      <c r="E103" s="1"/>
      <c r="F103" s="1"/>
      <c r="G103" s="49"/>
      <c r="H103" s="19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56"/>
      <c r="B104" s="56"/>
      <c r="C104" s="56"/>
      <c r="D104" s="1"/>
      <c r="E104" s="1"/>
      <c r="F104" s="1"/>
      <c r="G104" s="49"/>
      <c r="H104" s="19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56"/>
      <c r="B105" s="56"/>
      <c r="C105" s="56"/>
      <c r="D105" s="1"/>
      <c r="E105" s="1"/>
      <c r="F105" s="1"/>
      <c r="G105" s="49"/>
      <c r="H105" s="19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56"/>
      <c r="B106" s="56"/>
      <c r="C106" s="56"/>
      <c r="D106" s="1"/>
      <c r="E106" s="1"/>
      <c r="F106" s="1"/>
      <c r="G106" s="49"/>
      <c r="H106" s="19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56"/>
      <c r="B107" s="56"/>
      <c r="C107" s="56"/>
      <c r="D107" s="1"/>
      <c r="E107" s="1"/>
      <c r="F107" s="1"/>
      <c r="G107" s="49"/>
      <c r="H107" s="19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56"/>
      <c r="B108" s="56"/>
      <c r="C108" s="56"/>
      <c r="D108" s="1"/>
      <c r="E108" s="1"/>
      <c r="F108" s="1"/>
      <c r="G108" s="49"/>
      <c r="H108" s="19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56"/>
      <c r="B109" s="56"/>
      <c r="C109" s="56"/>
      <c r="D109" s="1"/>
      <c r="E109" s="1"/>
      <c r="F109" s="1"/>
      <c r="G109" s="49"/>
      <c r="H109" s="19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56"/>
      <c r="B110" s="56"/>
      <c r="C110" s="56"/>
      <c r="D110" s="1"/>
      <c r="E110" s="1"/>
      <c r="F110" s="1"/>
      <c r="G110" s="49"/>
      <c r="H110" s="19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56"/>
      <c r="B111" s="56"/>
      <c r="C111" s="56"/>
      <c r="D111" s="1"/>
      <c r="E111" s="1"/>
      <c r="F111" s="1"/>
      <c r="G111" s="49"/>
      <c r="H111" s="19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56"/>
      <c r="B112" s="56"/>
      <c r="C112" s="56"/>
      <c r="D112" s="1"/>
      <c r="E112" s="1"/>
      <c r="F112" s="1"/>
      <c r="G112" s="49"/>
      <c r="H112" s="19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56"/>
      <c r="B113" s="56"/>
      <c r="C113" s="56"/>
      <c r="D113" s="1"/>
      <c r="E113" s="1"/>
      <c r="F113" s="1"/>
      <c r="G113" s="49"/>
      <c r="H113" s="19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56"/>
      <c r="B114" s="56"/>
      <c r="C114" s="56"/>
      <c r="D114" s="1"/>
      <c r="E114" s="1"/>
      <c r="F114" s="1"/>
      <c r="G114" s="49"/>
      <c r="H114" s="19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56"/>
      <c r="B115" s="56"/>
      <c r="C115" s="56"/>
      <c r="D115" s="1"/>
      <c r="E115" s="1"/>
      <c r="F115" s="1"/>
      <c r="G115" s="49"/>
      <c r="H115" s="19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56"/>
      <c r="B116" s="56"/>
      <c r="C116" s="56"/>
      <c r="D116" s="1"/>
      <c r="E116" s="1"/>
      <c r="F116" s="1"/>
      <c r="G116" s="49"/>
      <c r="H116" s="19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56"/>
      <c r="B117" s="56"/>
      <c r="C117" s="56"/>
      <c r="D117" s="1"/>
      <c r="E117" s="1"/>
      <c r="F117" s="1"/>
      <c r="G117" s="49"/>
      <c r="H117" s="19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56"/>
      <c r="B118" s="56"/>
      <c r="C118" s="56"/>
      <c r="D118" s="1"/>
      <c r="E118" s="1"/>
      <c r="F118" s="1"/>
      <c r="G118" s="49"/>
      <c r="H118" s="19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56"/>
      <c r="B119" s="56"/>
      <c r="C119" s="56"/>
      <c r="D119" s="1"/>
      <c r="E119" s="1"/>
      <c r="F119" s="1"/>
      <c r="G119" s="49"/>
      <c r="H119" s="19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56"/>
      <c r="B120" s="56"/>
      <c r="C120" s="56"/>
      <c r="D120" s="1"/>
      <c r="E120" s="1"/>
      <c r="F120" s="1"/>
      <c r="G120" s="49"/>
      <c r="H120" s="19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56"/>
      <c r="B121" s="56"/>
      <c r="C121" s="56"/>
      <c r="D121" s="1"/>
      <c r="E121" s="1"/>
      <c r="F121" s="1"/>
      <c r="G121" s="49"/>
      <c r="H121" s="19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56"/>
      <c r="B122" s="56"/>
      <c r="C122" s="56"/>
      <c r="D122" s="1"/>
      <c r="E122" s="1"/>
      <c r="F122" s="1"/>
      <c r="G122" s="49"/>
      <c r="H122" s="19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56"/>
      <c r="B123" s="56"/>
      <c r="C123" s="56"/>
      <c r="D123" s="1"/>
      <c r="E123" s="1"/>
      <c r="F123" s="1"/>
      <c r="G123" s="49"/>
      <c r="H123" s="19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56"/>
      <c r="B124" s="56"/>
      <c r="C124" s="56"/>
      <c r="D124" s="1"/>
      <c r="E124" s="1"/>
      <c r="F124" s="1"/>
      <c r="G124" s="49"/>
      <c r="H124" s="19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56"/>
      <c r="B125" s="56"/>
      <c r="C125" s="56"/>
      <c r="D125" s="1"/>
      <c r="E125" s="1"/>
      <c r="F125" s="1"/>
      <c r="G125" s="49"/>
      <c r="H125" s="19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56"/>
      <c r="B126" s="56"/>
      <c r="C126" s="56"/>
      <c r="D126" s="1"/>
      <c r="E126" s="1"/>
      <c r="F126" s="1"/>
      <c r="G126" s="49"/>
      <c r="H126" s="19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56"/>
      <c r="B127" s="56"/>
      <c r="C127" s="56"/>
      <c r="D127" s="1"/>
      <c r="E127" s="1"/>
      <c r="F127" s="1"/>
      <c r="G127" s="49"/>
      <c r="H127" s="19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56"/>
      <c r="B128" s="56"/>
      <c r="C128" s="56"/>
      <c r="D128" s="1"/>
      <c r="E128" s="1"/>
      <c r="F128" s="1"/>
      <c r="G128" s="49"/>
      <c r="H128" s="19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56"/>
      <c r="B129" s="56"/>
      <c r="C129" s="56"/>
      <c r="D129" s="1"/>
      <c r="E129" s="1"/>
      <c r="F129" s="1"/>
      <c r="G129" s="49"/>
      <c r="H129" s="19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56"/>
      <c r="B130" s="56"/>
      <c r="C130" s="56"/>
      <c r="D130" s="1"/>
      <c r="E130" s="1"/>
      <c r="F130" s="1"/>
      <c r="G130" s="49"/>
      <c r="H130" s="19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56"/>
      <c r="B131" s="56"/>
      <c r="C131" s="56"/>
      <c r="D131" s="1"/>
      <c r="E131" s="1"/>
      <c r="F131" s="1"/>
      <c r="G131" s="49"/>
      <c r="H131" s="19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56"/>
      <c r="B132" s="56"/>
      <c r="C132" s="56"/>
      <c r="D132" s="1"/>
      <c r="E132" s="1"/>
      <c r="F132" s="1"/>
      <c r="G132" s="49"/>
      <c r="H132" s="19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56"/>
      <c r="B133" s="56"/>
      <c r="C133" s="56"/>
      <c r="D133" s="1"/>
      <c r="E133" s="1"/>
      <c r="F133" s="1"/>
      <c r="G133" s="49"/>
      <c r="H133" s="19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56"/>
      <c r="B134" s="56"/>
      <c r="C134" s="56"/>
      <c r="D134" s="1"/>
      <c r="E134" s="1"/>
      <c r="F134" s="1"/>
      <c r="G134" s="49"/>
      <c r="H134" s="19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56"/>
      <c r="B135" s="56"/>
      <c r="C135" s="56"/>
      <c r="D135" s="1"/>
      <c r="E135" s="1"/>
      <c r="F135" s="1"/>
      <c r="G135" s="49"/>
      <c r="H135" s="19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56"/>
      <c r="B136" s="56"/>
      <c r="C136" s="56"/>
      <c r="D136" s="1"/>
      <c r="E136" s="1"/>
      <c r="F136" s="1"/>
      <c r="G136" s="49"/>
      <c r="H136" s="19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56"/>
      <c r="B137" s="56"/>
      <c r="C137" s="56"/>
      <c r="D137" s="1"/>
      <c r="E137" s="1"/>
      <c r="F137" s="1"/>
      <c r="G137" s="49"/>
      <c r="H137" s="19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56"/>
      <c r="B138" s="56"/>
      <c r="C138" s="56"/>
      <c r="D138" s="1"/>
      <c r="E138" s="1"/>
      <c r="F138" s="1"/>
      <c r="G138" s="49"/>
      <c r="H138" s="19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56"/>
      <c r="B139" s="56"/>
      <c r="C139" s="56"/>
      <c r="D139" s="1"/>
      <c r="E139" s="1"/>
      <c r="F139" s="1"/>
      <c r="G139" s="49"/>
      <c r="H139" s="19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56"/>
      <c r="B140" s="56"/>
      <c r="C140" s="56"/>
      <c r="D140" s="1"/>
      <c r="E140" s="1"/>
      <c r="F140" s="1"/>
      <c r="G140" s="49"/>
      <c r="H140" s="19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56"/>
      <c r="B141" s="56"/>
      <c r="C141" s="56"/>
      <c r="D141" s="1"/>
      <c r="E141" s="1"/>
      <c r="F141" s="1"/>
      <c r="G141" s="49"/>
      <c r="H141" s="19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56"/>
      <c r="B142" s="56"/>
      <c r="C142" s="56"/>
      <c r="D142" s="1"/>
      <c r="E142" s="1"/>
      <c r="F142" s="1"/>
      <c r="G142" s="49"/>
      <c r="H142" s="19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56"/>
      <c r="B143" s="56"/>
      <c r="C143" s="56"/>
      <c r="D143" s="1"/>
      <c r="E143" s="1"/>
      <c r="F143" s="1"/>
      <c r="G143" s="49"/>
      <c r="H143" s="19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56"/>
      <c r="B144" s="56"/>
      <c r="C144" s="56"/>
      <c r="D144" s="1"/>
      <c r="E144" s="1"/>
      <c r="F144" s="1"/>
      <c r="G144" s="49"/>
      <c r="H144" s="19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56"/>
      <c r="B145" s="56"/>
      <c r="C145" s="56"/>
      <c r="D145" s="1"/>
      <c r="E145" s="1"/>
      <c r="F145" s="1"/>
      <c r="G145" s="49"/>
      <c r="H145" s="19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56"/>
      <c r="B146" s="56"/>
      <c r="C146" s="56"/>
      <c r="D146" s="1"/>
      <c r="E146" s="1"/>
      <c r="F146" s="1"/>
      <c r="G146" s="49"/>
      <c r="H146" s="19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56"/>
      <c r="B147" s="56"/>
      <c r="C147" s="56"/>
      <c r="D147" s="1"/>
      <c r="E147" s="1"/>
      <c r="F147" s="1"/>
      <c r="G147" s="49"/>
      <c r="H147" s="19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56"/>
      <c r="B148" s="56"/>
      <c r="C148" s="56"/>
      <c r="D148" s="1"/>
      <c r="E148" s="1"/>
      <c r="F148" s="1"/>
      <c r="G148" s="49"/>
      <c r="H148" s="19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56"/>
      <c r="B149" s="56"/>
      <c r="C149" s="56"/>
      <c r="D149" s="1"/>
      <c r="E149" s="1"/>
      <c r="F149" s="1"/>
      <c r="G149" s="49"/>
      <c r="H149" s="19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56"/>
      <c r="B150" s="56"/>
      <c r="C150" s="56"/>
      <c r="D150" s="1"/>
      <c r="E150" s="1"/>
      <c r="F150" s="1"/>
      <c r="G150" s="49"/>
      <c r="H150" s="19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56"/>
      <c r="B151" s="56"/>
      <c r="C151" s="56"/>
      <c r="D151" s="1"/>
      <c r="E151" s="1"/>
      <c r="F151" s="1"/>
      <c r="G151" s="49"/>
      <c r="H151" s="19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56"/>
      <c r="B152" s="56"/>
      <c r="C152" s="56"/>
      <c r="D152" s="1"/>
      <c r="E152" s="1"/>
      <c r="F152" s="1"/>
      <c r="G152" s="49"/>
      <c r="H152" s="19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56"/>
      <c r="B153" s="56"/>
      <c r="C153" s="56"/>
      <c r="D153" s="1"/>
      <c r="E153" s="1"/>
      <c r="F153" s="1"/>
      <c r="G153" s="49"/>
      <c r="H153" s="19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56"/>
      <c r="B154" s="56"/>
      <c r="C154" s="56"/>
      <c r="D154" s="1"/>
      <c r="E154" s="1"/>
      <c r="F154" s="1"/>
      <c r="G154" s="49"/>
      <c r="H154" s="19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56"/>
      <c r="B155" s="56"/>
      <c r="C155" s="56"/>
      <c r="D155" s="1"/>
      <c r="E155" s="1"/>
      <c r="F155" s="1"/>
      <c r="G155" s="49"/>
      <c r="H155" s="19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56"/>
      <c r="B156" s="56"/>
      <c r="C156" s="56"/>
      <c r="D156" s="1"/>
      <c r="E156" s="1"/>
      <c r="F156" s="1"/>
      <c r="G156" s="49"/>
      <c r="H156" s="19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56"/>
      <c r="B157" s="56"/>
      <c r="C157" s="56"/>
      <c r="D157" s="1"/>
      <c r="E157" s="1"/>
      <c r="F157" s="1"/>
      <c r="G157" s="49"/>
      <c r="H157" s="19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56"/>
      <c r="B158" s="56"/>
      <c r="C158" s="56"/>
      <c r="D158" s="1"/>
      <c r="E158" s="1"/>
      <c r="F158" s="1"/>
      <c r="G158" s="49"/>
      <c r="H158" s="19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56"/>
      <c r="B159" s="56"/>
      <c r="C159" s="56"/>
      <c r="D159" s="1"/>
      <c r="E159" s="1"/>
      <c r="F159" s="1"/>
      <c r="G159" s="49"/>
      <c r="H159" s="19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56"/>
      <c r="B160" s="56"/>
      <c r="C160" s="56"/>
      <c r="D160" s="1"/>
      <c r="E160" s="1"/>
      <c r="F160" s="1"/>
      <c r="G160" s="49"/>
      <c r="H160" s="19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56"/>
      <c r="B161" s="56"/>
      <c r="C161" s="56"/>
      <c r="D161" s="1"/>
      <c r="E161" s="1"/>
      <c r="F161" s="1"/>
      <c r="G161" s="49"/>
      <c r="H161" s="19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56"/>
      <c r="B162" s="56"/>
      <c r="C162" s="56"/>
      <c r="D162" s="1"/>
      <c r="E162" s="1"/>
      <c r="F162" s="1"/>
      <c r="G162" s="49"/>
      <c r="H162" s="19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56"/>
      <c r="B163" s="56"/>
      <c r="C163" s="56"/>
      <c r="D163" s="1"/>
      <c r="E163" s="1"/>
      <c r="F163" s="1"/>
      <c r="G163" s="49"/>
      <c r="H163" s="19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56"/>
      <c r="B164" s="56"/>
      <c r="C164" s="56"/>
      <c r="D164" s="1"/>
      <c r="E164" s="1"/>
      <c r="F164" s="1"/>
      <c r="G164" s="49"/>
      <c r="H164" s="19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56"/>
      <c r="B165" s="56"/>
      <c r="C165" s="56"/>
      <c r="D165" s="1"/>
      <c r="E165" s="1"/>
      <c r="F165" s="1"/>
      <c r="G165" s="49"/>
      <c r="H165" s="19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56"/>
      <c r="B166" s="56"/>
      <c r="C166" s="56"/>
      <c r="D166" s="1"/>
      <c r="E166" s="1"/>
      <c r="F166" s="1"/>
      <c r="G166" s="49"/>
      <c r="H166" s="19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56"/>
      <c r="B167" s="56"/>
      <c r="C167" s="56"/>
      <c r="D167" s="1"/>
      <c r="E167" s="1"/>
      <c r="F167" s="1"/>
      <c r="G167" s="49"/>
      <c r="H167" s="19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56"/>
      <c r="B168" s="56"/>
      <c r="C168" s="56"/>
      <c r="D168" s="1"/>
      <c r="E168" s="1"/>
      <c r="F168" s="1"/>
      <c r="G168" s="49"/>
      <c r="H168" s="19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56"/>
      <c r="B169" s="56"/>
      <c r="C169" s="56"/>
      <c r="D169" s="1"/>
      <c r="E169" s="1"/>
      <c r="F169" s="1"/>
      <c r="G169" s="49"/>
      <c r="H169" s="19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56"/>
      <c r="B170" s="56"/>
      <c r="C170" s="56"/>
      <c r="D170" s="1"/>
      <c r="E170" s="1"/>
      <c r="F170" s="1"/>
      <c r="G170" s="49"/>
      <c r="H170" s="19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56"/>
      <c r="B171" s="56"/>
      <c r="C171" s="56"/>
      <c r="D171" s="1"/>
      <c r="E171" s="1"/>
      <c r="F171" s="1"/>
      <c r="G171" s="49"/>
      <c r="H171" s="19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56"/>
      <c r="B172" s="56"/>
      <c r="C172" s="56"/>
      <c r="D172" s="1"/>
      <c r="E172" s="1"/>
      <c r="F172" s="1"/>
      <c r="G172" s="49"/>
      <c r="H172" s="19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56"/>
      <c r="B173" s="56"/>
      <c r="C173" s="56"/>
      <c r="D173" s="1"/>
      <c r="E173" s="1"/>
      <c r="F173" s="1"/>
      <c r="G173" s="49"/>
      <c r="H173" s="19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56"/>
      <c r="B174" s="56"/>
      <c r="C174" s="56"/>
      <c r="D174" s="1"/>
      <c r="E174" s="1"/>
      <c r="F174" s="1"/>
      <c r="G174" s="49"/>
      <c r="H174" s="19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56"/>
      <c r="B175" s="56"/>
      <c r="C175" s="56"/>
      <c r="D175" s="1"/>
      <c r="E175" s="1"/>
      <c r="F175" s="1"/>
      <c r="G175" s="49"/>
      <c r="H175" s="19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56"/>
      <c r="B176" s="56"/>
      <c r="C176" s="56"/>
      <c r="D176" s="1"/>
      <c r="E176" s="1"/>
      <c r="F176" s="1"/>
      <c r="G176" s="49"/>
      <c r="H176" s="19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56"/>
      <c r="B177" s="56"/>
      <c r="C177" s="56"/>
      <c r="D177" s="1"/>
      <c r="E177" s="1"/>
      <c r="F177" s="1"/>
      <c r="G177" s="49"/>
      <c r="H177" s="19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56"/>
      <c r="B178" s="56"/>
      <c r="C178" s="56"/>
      <c r="D178" s="1"/>
      <c r="E178" s="1"/>
      <c r="F178" s="1"/>
      <c r="G178" s="49"/>
      <c r="H178" s="19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56"/>
      <c r="B179" s="56"/>
      <c r="C179" s="56"/>
      <c r="D179" s="1"/>
      <c r="E179" s="1"/>
      <c r="F179" s="1"/>
      <c r="G179" s="49"/>
      <c r="H179" s="19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56"/>
      <c r="B180" s="56"/>
      <c r="C180" s="56"/>
      <c r="D180" s="1"/>
      <c r="E180" s="1"/>
      <c r="F180" s="1"/>
      <c r="G180" s="49"/>
      <c r="H180" s="19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56"/>
      <c r="B181" s="56"/>
      <c r="C181" s="56"/>
      <c r="D181" s="1"/>
      <c r="E181" s="1"/>
      <c r="F181" s="1"/>
      <c r="G181" s="49"/>
      <c r="H181" s="19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56"/>
      <c r="B182" s="56"/>
      <c r="C182" s="56"/>
      <c r="D182" s="1"/>
      <c r="E182" s="1"/>
      <c r="F182" s="1"/>
      <c r="G182" s="49"/>
      <c r="H182" s="19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56"/>
      <c r="B183" s="56"/>
      <c r="C183" s="56"/>
      <c r="D183" s="1"/>
      <c r="E183" s="1"/>
      <c r="F183" s="1"/>
      <c r="G183" s="49"/>
      <c r="H183" s="19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56"/>
      <c r="B184" s="56"/>
      <c r="C184" s="56"/>
      <c r="D184" s="1"/>
      <c r="E184" s="1"/>
      <c r="F184" s="1"/>
      <c r="G184" s="49"/>
      <c r="H184" s="19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56"/>
      <c r="B185" s="56"/>
      <c r="C185" s="56"/>
      <c r="D185" s="1"/>
      <c r="E185" s="1"/>
      <c r="F185" s="1"/>
      <c r="G185" s="49"/>
      <c r="H185" s="19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56"/>
      <c r="B186" s="56"/>
      <c r="C186" s="56"/>
      <c r="D186" s="1"/>
      <c r="E186" s="1"/>
      <c r="F186" s="1"/>
      <c r="G186" s="49"/>
      <c r="H186" s="19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56"/>
      <c r="B187" s="56"/>
      <c r="C187" s="56"/>
      <c r="D187" s="1"/>
      <c r="E187" s="1"/>
      <c r="F187" s="1"/>
      <c r="G187" s="49"/>
      <c r="H187" s="19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56"/>
      <c r="B188" s="56"/>
      <c r="C188" s="56"/>
      <c r="D188" s="1"/>
      <c r="E188" s="1"/>
      <c r="F188" s="1"/>
      <c r="G188" s="49"/>
      <c r="H188" s="19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56"/>
      <c r="B189" s="56"/>
      <c r="C189" s="56"/>
      <c r="D189" s="1"/>
      <c r="E189" s="1"/>
      <c r="F189" s="1"/>
      <c r="G189" s="49"/>
      <c r="H189" s="19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56"/>
      <c r="B190" s="56"/>
      <c r="C190" s="56"/>
      <c r="D190" s="1"/>
      <c r="E190" s="1"/>
      <c r="F190" s="1"/>
      <c r="G190" s="49"/>
      <c r="H190" s="19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56"/>
      <c r="B191" s="56"/>
      <c r="C191" s="56"/>
      <c r="D191" s="1"/>
      <c r="E191" s="1"/>
      <c r="F191" s="1"/>
      <c r="G191" s="49"/>
      <c r="H191" s="19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56"/>
      <c r="B192" s="56"/>
      <c r="C192" s="56"/>
      <c r="D192" s="1"/>
      <c r="E192" s="1"/>
      <c r="F192" s="1"/>
      <c r="G192" s="49"/>
      <c r="H192" s="19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56"/>
      <c r="B193" s="56"/>
      <c r="C193" s="56"/>
      <c r="D193" s="1"/>
      <c r="E193" s="1"/>
      <c r="F193" s="1"/>
      <c r="G193" s="49"/>
      <c r="H193" s="19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56"/>
      <c r="B194" s="56"/>
      <c r="C194" s="56"/>
      <c r="D194" s="1"/>
      <c r="E194" s="1"/>
      <c r="F194" s="1"/>
      <c r="G194" s="49"/>
      <c r="H194" s="19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56"/>
      <c r="B195" s="56"/>
      <c r="C195" s="56"/>
      <c r="D195" s="1"/>
      <c r="E195" s="1"/>
      <c r="F195" s="1"/>
      <c r="G195" s="49"/>
      <c r="H195" s="19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56"/>
      <c r="B196" s="56"/>
      <c r="C196" s="56"/>
      <c r="D196" s="1"/>
      <c r="E196" s="1"/>
      <c r="F196" s="1"/>
      <c r="G196" s="49"/>
      <c r="H196" s="19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56"/>
      <c r="B197" s="56"/>
      <c r="C197" s="56"/>
      <c r="D197" s="1"/>
      <c r="E197" s="1"/>
      <c r="F197" s="1"/>
      <c r="G197" s="49"/>
      <c r="H197" s="19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56"/>
      <c r="B198" s="56"/>
      <c r="C198" s="56"/>
      <c r="D198" s="1"/>
      <c r="E198" s="1"/>
      <c r="F198" s="1"/>
      <c r="G198" s="49"/>
      <c r="H198" s="19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56"/>
      <c r="B199" s="56"/>
      <c r="C199" s="56"/>
      <c r="D199" s="1"/>
      <c r="E199" s="1"/>
      <c r="F199" s="1"/>
      <c r="G199" s="49"/>
      <c r="H199" s="19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56"/>
      <c r="B200" s="56"/>
      <c r="C200" s="56"/>
      <c r="D200" s="1"/>
      <c r="E200" s="1"/>
      <c r="F200" s="1"/>
      <c r="G200" s="49"/>
      <c r="H200" s="19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56"/>
      <c r="B201" s="56"/>
      <c r="C201" s="56"/>
      <c r="D201" s="1"/>
      <c r="E201" s="1"/>
      <c r="F201" s="1"/>
      <c r="G201" s="49"/>
      <c r="H201" s="19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56"/>
      <c r="B202" s="56"/>
      <c r="C202" s="56"/>
      <c r="D202" s="1"/>
      <c r="E202" s="1"/>
      <c r="F202" s="1"/>
      <c r="G202" s="49"/>
      <c r="H202" s="19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56"/>
      <c r="B203" s="56"/>
      <c r="C203" s="56"/>
      <c r="D203" s="1"/>
      <c r="E203" s="1"/>
      <c r="F203" s="1"/>
      <c r="G203" s="49"/>
      <c r="H203" s="19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56"/>
      <c r="B204" s="56"/>
      <c r="C204" s="56"/>
      <c r="D204" s="1"/>
      <c r="E204" s="1"/>
      <c r="F204" s="1"/>
      <c r="G204" s="49"/>
      <c r="H204" s="19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56"/>
      <c r="B205" s="56"/>
      <c r="C205" s="56"/>
      <c r="D205" s="1"/>
      <c r="E205" s="1"/>
      <c r="F205" s="1"/>
      <c r="G205" s="49"/>
      <c r="H205" s="19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56"/>
      <c r="B206" s="56"/>
      <c r="C206" s="56"/>
      <c r="D206" s="1"/>
      <c r="E206" s="1"/>
      <c r="F206" s="1"/>
      <c r="G206" s="49"/>
      <c r="H206" s="19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56"/>
      <c r="B207" s="56"/>
      <c r="C207" s="56"/>
      <c r="D207" s="1"/>
      <c r="E207" s="1"/>
      <c r="F207" s="1"/>
      <c r="G207" s="49"/>
      <c r="H207" s="19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56"/>
      <c r="B208" s="56"/>
      <c r="C208" s="56"/>
      <c r="D208" s="1"/>
      <c r="E208" s="1"/>
      <c r="F208" s="1"/>
      <c r="G208" s="49"/>
      <c r="H208" s="19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56"/>
      <c r="B209" s="56"/>
      <c r="C209" s="56"/>
      <c r="D209" s="1"/>
      <c r="E209" s="1"/>
      <c r="F209" s="1"/>
      <c r="G209" s="49"/>
      <c r="H209" s="19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56"/>
      <c r="B210" s="56"/>
      <c r="C210" s="56"/>
      <c r="D210" s="1"/>
      <c r="E210" s="1"/>
      <c r="F210" s="1"/>
      <c r="G210" s="49"/>
      <c r="H210" s="19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56"/>
      <c r="B211" s="56"/>
      <c r="C211" s="56"/>
      <c r="D211" s="1"/>
      <c r="E211" s="1"/>
      <c r="F211" s="1"/>
      <c r="G211" s="49"/>
      <c r="H211" s="19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56"/>
      <c r="B212" s="56"/>
      <c r="C212" s="56"/>
      <c r="D212" s="1"/>
      <c r="E212" s="1"/>
      <c r="F212" s="1"/>
      <c r="G212" s="49"/>
      <c r="H212" s="19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56"/>
      <c r="B213" s="56"/>
      <c r="C213" s="56"/>
      <c r="D213" s="1"/>
      <c r="E213" s="1"/>
      <c r="F213" s="1"/>
      <c r="G213" s="49"/>
      <c r="H213" s="19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56"/>
      <c r="B214" s="56"/>
      <c r="C214" s="56"/>
      <c r="D214" s="1"/>
      <c r="E214" s="1"/>
      <c r="F214" s="1"/>
      <c r="G214" s="49"/>
      <c r="H214" s="19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56"/>
      <c r="B215" s="56"/>
      <c r="C215" s="56"/>
      <c r="D215" s="1"/>
      <c r="E215" s="1"/>
      <c r="F215" s="1"/>
      <c r="G215" s="49"/>
      <c r="H215" s="19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56"/>
      <c r="B216" s="56"/>
      <c r="C216" s="56"/>
      <c r="D216" s="1"/>
      <c r="E216" s="1"/>
      <c r="F216" s="1"/>
      <c r="G216" s="49"/>
      <c r="H216" s="19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56"/>
      <c r="B217" s="56"/>
      <c r="C217" s="56"/>
      <c r="D217" s="1"/>
      <c r="E217" s="1"/>
      <c r="F217" s="1"/>
      <c r="G217" s="49"/>
      <c r="H217" s="19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56"/>
      <c r="B218" s="56"/>
      <c r="C218" s="56"/>
      <c r="D218" s="1"/>
      <c r="E218" s="1"/>
      <c r="F218" s="1"/>
      <c r="G218" s="49"/>
      <c r="H218" s="19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56"/>
      <c r="B219" s="56"/>
      <c r="C219" s="56"/>
      <c r="D219" s="1"/>
      <c r="E219" s="1"/>
      <c r="F219" s="1"/>
      <c r="G219" s="49"/>
      <c r="H219" s="19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56"/>
      <c r="B220" s="56"/>
      <c r="C220" s="56"/>
      <c r="D220" s="1"/>
      <c r="E220" s="1"/>
      <c r="F220" s="1"/>
      <c r="G220" s="49"/>
      <c r="H220" s="19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56"/>
      <c r="B221" s="56"/>
      <c r="C221" s="56"/>
      <c r="D221" s="1"/>
      <c r="E221" s="1"/>
      <c r="F221" s="1"/>
      <c r="G221" s="49"/>
      <c r="H221" s="19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56"/>
      <c r="B222" s="56"/>
      <c r="C222" s="56"/>
      <c r="D222" s="1"/>
      <c r="E222" s="1"/>
      <c r="F222" s="1"/>
      <c r="G222" s="49"/>
      <c r="H222" s="19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56"/>
      <c r="B223" s="56"/>
      <c r="C223" s="56"/>
      <c r="D223" s="1"/>
      <c r="E223" s="1"/>
      <c r="F223" s="1"/>
      <c r="G223" s="49"/>
      <c r="H223" s="19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56"/>
      <c r="B224" s="56"/>
      <c r="C224" s="56"/>
      <c r="D224" s="1"/>
      <c r="E224" s="1"/>
      <c r="F224" s="1"/>
      <c r="G224" s="49"/>
      <c r="H224" s="19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56"/>
      <c r="B225" s="56"/>
      <c r="C225" s="56"/>
      <c r="D225" s="1"/>
      <c r="E225" s="1"/>
      <c r="F225" s="1"/>
      <c r="G225" s="49"/>
      <c r="H225" s="19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56"/>
      <c r="B226" s="56"/>
      <c r="C226" s="56"/>
      <c r="D226" s="1"/>
      <c r="E226" s="1"/>
      <c r="F226" s="1"/>
      <c r="G226" s="49"/>
      <c r="H226" s="19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56"/>
      <c r="B227" s="56"/>
      <c r="C227" s="56"/>
      <c r="D227" s="1"/>
      <c r="E227" s="1"/>
      <c r="F227" s="1"/>
      <c r="G227" s="49"/>
      <c r="H227" s="19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56"/>
      <c r="B228" s="56"/>
      <c r="C228" s="56"/>
      <c r="D228" s="1"/>
      <c r="E228" s="1"/>
      <c r="F228" s="1"/>
      <c r="G228" s="49"/>
      <c r="H228" s="19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56"/>
      <c r="B229" s="56"/>
      <c r="C229" s="56"/>
      <c r="D229" s="1"/>
      <c r="E229" s="1"/>
      <c r="F229" s="1"/>
      <c r="G229" s="49"/>
      <c r="H229" s="19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56"/>
      <c r="B230" s="56"/>
      <c r="C230" s="56"/>
      <c r="D230" s="1"/>
      <c r="E230" s="1"/>
      <c r="F230" s="1"/>
      <c r="G230" s="49"/>
      <c r="H230" s="19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56"/>
      <c r="B231" s="56"/>
      <c r="C231" s="56"/>
      <c r="D231" s="1"/>
      <c r="E231" s="1"/>
      <c r="F231" s="1"/>
      <c r="G231" s="49"/>
      <c r="H231" s="19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56"/>
      <c r="B232" s="56"/>
      <c r="C232" s="56"/>
      <c r="D232" s="1"/>
      <c r="E232" s="1"/>
      <c r="F232" s="1"/>
      <c r="G232" s="49"/>
      <c r="H232" s="19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56"/>
      <c r="B233" s="56"/>
      <c r="C233" s="56"/>
      <c r="D233" s="1"/>
      <c r="E233" s="1"/>
      <c r="F233" s="1"/>
      <c r="G233" s="49"/>
      <c r="H233" s="19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56"/>
      <c r="B234" s="56"/>
      <c r="C234" s="56"/>
      <c r="D234" s="1"/>
      <c r="E234" s="1"/>
      <c r="F234" s="1"/>
      <c r="G234" s="49"/>
      <c r="H234" s="19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56"/>
      <c r="B235" s="56"/>
      <c r="C235" s="56"/>
      <c r="D235" s="1"/>
      <c r="E235" s="1"/>
      <c r="F235" s="1"/>
      <c r="G235" s="49"/>
      <c r="H235" s="19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56"/>
      <c r="B236" s="56"/>
      <c r="C236" s="56"/>
      <c r="D236" s="1"/>
      <c r="E236" s="1"/>
      <c r="F236" s="1"/>
      <c r="G236" s="49"/>
      <c r="H236" s="19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56"/>
      <c r="B237" s="56"/>
      <c r="C237" s="56"/>
      <c r="D237" s="1"/>
      <c r="E237" s="1"/>
      <c r="F237" s="1"/>
      <c r="G237" s="49"/>
      <c r="H237" s="19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56"/>
      <c r="B238" s="56"/>
      <c r="C238" s="56"/>
      <c r="D238" s="1"/>
      <c r="E238" s="1"/>
      <c r="F238" s="1"/>
      <c r="G238" s="49"/>
      <c r="H238" s="19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56"/>
      <c r="B239" s="56"/>
      <c r="C239" s="56"/>
      <c r="D239" s="1"/>
      <c r="E239" s="1"/>
      <c r="F239" s="1"/>
      <c r="G239" s="49"/>
      <c r="H239" s="19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56"/>
      <c r="B240" s="56"/>
      <c r="C240" s="56"/>
      <c r="D240" s="1"/>
      <c r="E240" s="1"/>
      <c r="F240" s="1"/>
      <c r="G240" s="49"/>
      <c r="H240" s="19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56"/>
      <c r="B241" s="56"/>
      <c r="C241" s="56"/>
      <c r="D241" s="1"/>
      <c r="E241" s="1"/>
      <c r="F241" s="1"/>
      <c r="G241" s="49"/>
      <c r="H241" s="19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56"/>
      <c r="B242" s="56"/>
      <c r="C242" s="56"/>
      <c r="D242" s="1"/>
      <c r="E242" s="1"/>
      <c r="F242" s="1"/>
      <c r="G242" s="49"/>
      <c r="H242" s="19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56"/>
      <c r="B243" s="56"/>
      <c r="C243" s="56"/>
      <c r="D243" s="1"/>
      <c r="E243" s="1"/>
      <c r="F243" s="1"/>
      <c r="G243" s="49"/>
      <c r="H243" s="19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56"/>
      <c r="B244" s="56"/>
      <c r="C244" s="56"/>
      <c r="D244" s="1"/>
      <c r="E244" s="1"/>
      <c r="F244" s="1"/>
      <c r="G244" s="49"/>
      <c r="H244" s="19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56"/>
      <c r="B245" s="56"/>
      <c r="C245" s="56"/>
      <c r="D245" s="1"/>
      <c r="E245" s="1"/>
      <c r="F245" s="1"/>
      <c r="G245" s="49"/>
      <c r="H245" s="19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56"/>
      <c r="B246" s="56"/>
      <c r="C246" s="56"/>
      <c r="D246" s="1"/>
      <c r="E246" s="1"/>
      <c r="F246" s="1"/>
      <c r="G246" s="49"/>
      <c r="H246" s="19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56"/>
      <c r="B247" s="56"/>
      <c r="C247" s="56"/>
      <c r="D247" s="1"/>
      <c r="E247" s="1"/>
      <c r="F247" s="1"/>
      <c r="G247" s="49"/>
      <c r="H247" s="19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56"/>
      <c r="B248" s="56"/>
      <c r="C248" s="56"/>
      <c r="D248" s="1"/>
      <c r="E248" s="1"/>
      <c r="F248" s="1"/>
      <c r="G248" s="49"/>
      <c r="H248" s="19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56"/>
      <c r="B249" s="56"/>
      <c r="C249" s="56"/>
      <c r="D249" s="1"/>
      <c r="E249" s="1"/>
      <c r="F249" s="1"/>
      <c r="G249" s="49"/>
      <c r="H249" s="19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56"/>
      <c r="B250" s="56"/>
      <c r="C250" s="56"/>
      <c r="D250" s="1"/>
      <c r="E250" s="1"/>
      <c r="F250" s="1"/>
      <c r="G250" s="49"/>
      <c r="H250" s="19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56"/>
      <c r="B251" s="56"/>
      <c r="C251" s="56"/>
      <c r="D251" s="1"/>
      <c r="E251" s="1"/>
      <c r="F251" s="1"/>
      <c r="G251" s="49"/>
      <c r="H251" s="19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56"/>
      <c r="B252" s="56"/>
      <c r="C252" s="56"/>
      <c r="D252" s="1"/>
      <c r="E252" s="1"/>
      <c r="F252" s="1"/>
      <c r="G252" s="49"/>
      <c r="H252" s="19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56"/>
      <c r="B253" s="56"/>
      <c r="C253" s="56"/>
      <c r="D253" s="1"/>
      <c r="E253" s="1"/>
      <c r="F253" s="1"/>
      <c r="G253" s="49"/>
      <c r="H253" s="19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56"/>
      <c r="B254" s="56"/>
      <c r="C254" s="56"/>
      <c r="D254" s="1"/>
      <c r="E254" s="1"/>
      <c r="F254" s="1"/>
      <c r="G254" s="49"/>
      <c r="H254" s="19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56"/>
      <c r="B255" s="56"/>
      <c r="C255" s="56"/>
      <c r="D255" s="1"/>
      <c r="E255" s="1"/>
      <c r="F255" s="1"/>
      <c r="G255" s="49"/>
      <c r="H255" s="19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56"/>
      <c r="B256" s="56"/>
      <c r="C256" s="56"/>
      <c r="D256" s="1"/>
      <c r="E256" s="1"/>
      <c r="F256" s="1"/>
      <c r="G256" s="49"/>
      <c r="H256" s="19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56"/>
      <c r="B257" s="56"/>
      <c r="C257" s="56"/>
      <c r="D257" s="1"/>
      <c r="E257" s="1"/>
      <c r="F257" s="1"/>
      <c r="G257" s="49"/>
      <c r="H257" s="19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56"/>
      <c r="B258" s="56"/>
      <c r="C258" s="56"/>
      <c r="D258" s="1"/>
      <c r="E258" s="1"/>
      <c r="F258" s="1"/>
      <c r="G258" s="49"/>
      <c r="H258" s="19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56"/>
      <c r="B259" s="56"/>
      <c r="C259" s="56"/>
      <c r="D259" s="1"/>
      <c r="E259" s="1"/>
      <c r="F259" s="1"/>
      <c r="G259" s="49"/>
      <c r="H259" s="19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56"/>
      <c r="B260" s="56"/>
      <c r="C260" s="56"/>
      <c r="D260" s="1"/>
      <c r="E260" s="1"/>
      <c r="F260" s="1"/>
      <c r="G260" s="49"/>
      <c r="H260" s="19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56"/>
      <c r="B261" s="56"/>
      <c r="C261" s="56"/>
      <c r="D261" s="1"/>
      <c r="E261" s="1"/>
      <c r="F261" s="1"/>
      <c r="G261" s="49"/>
      <c r="H261" s="19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56"/>
      <c r="B262" s="56"/>
      <c r="C262" s="56"/>
      <c r="D262" s="1"/>
      <c r="E262" s="1"/>
      <c r="F262" s="1"/>
      <c r="G262" s="49"/>
      <c r="H262" s="19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56"/>
      <c r="B263" s="56"/>
      <c r="C263" s="56"/>
      <c r="D263" s="1"/>
      <c r="E263" s="1"/>
      <c r="F263" s="1"/>
      <c r="G263" s="49"/>
      <c r="H263" s="19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56"/>
      <c r="B264" s="56"/>
      <c r="C264" s="56"/>
      <c r="D264" s="1"/>
      <c r="E264" s="1"/>
      <c r="F264" s="1"/>
      <c r="G264" s="49"/>
      <c r="H264" s="19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56"/>
      <c r="B265" s="56"/>
      <c r="C265" s="56"/>
      <c r="D265" s="1"/>
      <c r="E265" s="1"/>
      <c r="F265" s="1"/>
      <c r="G265" s="49"/>
      <c r="H265" s="19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56"/>
      <c r="B266" s="56"/>
      <c r="C266" s="56"/>
      <c r="D266" s="1"/>
      <c r="E266" s="1"/>
      <c r="F266" s="1"/>
      <c r="G266" s="49"/>
      <c r="H266" s="19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56"/>
      <c r="B267" s="56"/>
      <c r="C267" s="56"/>
      <c r="D267" s="1"/>
      <c r="E267" s="1"/>
      <c r="F267" s="1"/>
      <c r="G267" s="49"/>
      <c r="H267" s="19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56"/>
      <c r="B268" s="56"/>
      <c r="C268" s="56"/>
      <c r="D268" s="1"/>
      <c r="E268" s="1"/>
      <c r="F268" s="1"/>
      <c r="G268" s="49"/>
      <c r="H268" s="19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56"/>
      <c r="B269" s="56"/>
      <c r="C269" s="56"/>
      <c r="D269" s="1"/>
      <c r="E269" s="1"/>
      <c r="F269" s="1"/>
      <c r="G269" s="49"/>
      <c r="H269" s="19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56"/>
      <c r="B270" s="56"/>
      <c r="C270" s="56"/>
      <c r="D270" s="1"/>
      <c r="E270" s="1"/>
      <c r="F270" s="1"/>
      <c r="G270" s="49"/>
      <c r="H270" s="19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56"/>
      <c r="B271" s="56"/>
      <c r="C271" s="56"/>
      <c r="D271" s="1"/>
      <c r="E271" s="1"/>
      <c r="F271" s="1"/>
      <c r="G271" s="49"/>
      <c r="H271" s="19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56"/>
      <c r="B272" s="56"/>
      <c r="C272" s="56"/>
      <c r="D272" s="1"/>
      <c r="E272" s="1"/>
      <c r="F272" s="1"/>
      <c r="G272" s="49"/>
      <c r="H272" s="19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56"/>
      <c r="B273" s="56"/>
      <c r="C273" s="56"/>
      <c r="D273" s="1"/>
      <c r="E273" s="1"/>
      <c r="F273" s="1"/>
      <c r="G273" s="49"/>
      <c r="H273" s="19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56"/>
      <c r="B274" s="56"/>
      <c r="C274" s="56"/>
      <c r="D274" s="1"/>
      <c r="E274" s="1"/>
      <c r="F274" s="1"/>
      <c r="G274" s="49"/>
      <c r="H274" s="19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56"/>
      <c r="B275" s="56"/>
      <c r="C275" s="56"/>
      <c r="D275" s="1"/>
      <c r="E275" s="1"/>
      <c r="F275" s="1"/>
      <c r="G275" s="49"/>
      <c r="H275" s="19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56"/>
      <c r="B276" s="56"/>
      <c r="C276" s="56"/>
      <c r="D276" s="1"/>
      <c r="E276" s="1"/>
      <c r="F276" s="1"/>
      <c r="G276" s="49"/>
      <c r="H276" s="19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56"/>
      <c r="B277" s="56"/>
      <c r="C277" s="56"/>
      <c r="D277" s="1"/>
      <c r="E277" s="1"/>
      <c r="F277" s="1"/>
      <c r="G277" s="49"/>
      <c r="H277" s="19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56"/>
      <c r="B278" s="56"/>
      <c r="C278" s="56"/>
      <c r="D278" s="1"/>
      <c r="E278" s="1"/>
      <c r="F278" s="1"/>
      <c r="G278" s="49"/>
      <c r="H278" s="19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56"/>
      <c r="B279" s="56"/>
      <c r="C279" s="56"/>
      <c r="D279" s="1"/>
      <c r="E279" s="1"/>
      <c r="F279" s="1"/>
      <c r="G279" s="49"/>
      <c r="H279" s="19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56"/>
      <c r="B280" s="56"/>
      <c r="C280" s="56"/>
      <c r="D280" s="1"/>
      <c r="E280" s="1"/>
      <c r="F280" s="1"/>
      <c r="G280" s="49"/>
      <c r="H280" s="19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56"/>
      <c r="B281" s="56"/>
      <c r="C281" s="56"/>
      <c r="D281" s="1"/>
      <c r="E281" s="1"/>
      <c r="F281" s="1"/>
      <c r="G281" s="49"/>
      <c r="H281" s="19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56"/>
      <c r="B282" s="56"/>
      <c r="C282" s="56"/>
      <c r="D282" s="1"/>
      <c r="E282" s="1"/>
      <c r="F282" s="1"/>
      <c r="G282" s="49"/>
      <c r="H282" s="19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56"/>
      <c r="B283" s="56"/>
      <c r="C283" s="56"/>
      <c r="D283" s="1"/>
      <c r="E283" s="1"/>
      <c r="F283" s="1"/>
      <c r="G283" s="49"/>
      <c r="H283" s="19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56"/>
      <c r="B284" s="56"/>
      <c r="C284" s="56"/>
      <c r="D284" s="1"/>
      <c r="E284" s="1"/>
      <c r="F284" s="1"/>
      <c r="G284" s="49"/>
      <c r="H284" s="19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56"/>
      <c r="B285" s="56"/>
      <c r="C285" s="56"/>
      <c r="D285" s="1"/>
      <c r="E285" s="1"/>
      <c r="F285" s="1"/>
      <c r="G285" s="49"/>
      <c r="H285" s="19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56"/>
      <c r="B286" s="56"/>
      <c r="C286" s="56"/>
      <c r="D286" s="1"/>
      <c r="E286" s="1"/>
      <c r="F286" s="1"/>
      <c r="G286" s="49"/>
      <c r="H286" s="19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56"/>
      <c r="B287" s="56"/>
      <c r="C287" s="56"/>
      <c r="D287" s="1"/>
      <c r="E287" s="1"/>
      <c r="F287" s="1"/>
      <c r="G287" s="49"/>
      <c r="H287" s="19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56"/>
      <c r="B288" s="56"/>
      <c r="C288" s="56"/>
      <c r="D288" s="1"/>
      <c r="E288" s="1"/>
      <c r="F288" s="1"/>
      <c r="G288" s="49"/>
      <c r="H288" s="19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56"/>
      <c r="B289" s="56"/>
      <c r="C289" s="56"/>
      <c r="D289" s="1"/>
      <c r="E289" s="1"/>
      <c r="F289" s="1"/>
      <c r="G289" s="49"/>
      <c r="H289" s="19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56"/>
      <c r="B290" s="56"/>
      <c r="C290" s="56"/>
      <c r="D290" s="1"/>
      <c r="E290" s="1"/>
      <c r="F290" s="1"/>
      <c r="G290" s="49"/>
      <c r="H290" s="19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56"/>
      <c r="B291" s="56"/>
      <c r="C291" s="56"/>
      <c r="D291" s="1"/>
      <c r="E291" s="1"/>
      <c r="F291" s="1"/>
      <c r="G291" s="49"/>
      <c r="H291" s="19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56"/>
      <c r="B292" s="56"/>
      <c r="C292" s="56"/>
      <c r="D292" s="1"/>
      <c r="E292" s="1"/>
      <c r="F292" s="1"/>
      <c r="G292" s="49"/>
      <c r="H292" s="19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56"/>
      <c r="B293" s="56"/>
      <c r="C293" s="56"/>
      <c r="D293" s="1"/>
      <c r="E293" s="1"/>
      <c r="F293" s="1"/>
      <c r="G293" s="49"/>
      <c r="H293" s="19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56"/>
      <c r="B294" s="56"/>
      <c r="C294" s="56"/>
      <c r="D294" s="1"/>
      <c r="E294" s="1"/>
      <c r="F294" s="1"/>
      <c r="G294" s="49"/>
      <c r="H294" s="19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56"/>
      <c r="B295" s="56"/>
      <c r="C295" s="56"/>
      <c r="D295" s="1"/>
      <c r="E295" s="1"/>
      <c r="F295" s="1"/>
      <c r="G295" s="49"/>
      <c r="H295" s="19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56"/>
      <c r="B296" s="56"/>
      <c r="C296" s="56"/>
      <c r="D296" s="1"/>
      <c r="E296" s="1"/>
      <c r="F296" s="1"/>
      <c r="G296" s="49"/>
      <c r="H296" s="19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56"/>
      <c r="B297" s="56"/>
      <c r="C297" s="56"/>
      <c r="D297" s="1"/>
      <c r="E297" s="1"/>
      <c r="F297" s="1"/>
      <c r="G297" s="49"/>
      <c r="H297" s="19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56"/>
      <c r="B298" s="56"/>
      <c r="C298" s="56"/>
      <c r="D298" s="1"/>
      <c r="E298" s="1"/>
      <c r="F298" s="1"/>
      <c r="G298" s="49"/>
      <c r="H298" s="19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56"/>
      <c r="B299" s="56"/>
      <c r="C299" s="56"/>
      <c r="D299" s="1"/>
      <c r="E299" s="1"/>
      <c r="F299" s="1"/>
      <c r="G299" s="49"/>
      <c r="H299" s="19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56"/>
      <c r="B300" s="56"/>
      <c r="C300" s="56"/>
      <c r="D300" s="1"/>
      <c r="E300" s="1"/>
      <c r="F300" s="1"/>
      <c r="G300" s="49"/>
      <c r="H300" s="19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56"/>
      <c r="B301" s="56"/>
      <c r="C301" s="56"/>
      <c r="D301" s="1"/>
      <c r="E301" s="1"/>
      <c r="F301" s="1"/>
      <c r="G301" s="49"/>
      <c r="H301" s="19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56"/>
      <c r="B302" s="56"/>
      <c r="C302" s="56"/>
      <c r="D302" s="1"/>
      <c r="E302" s="1"/>
      <c r="F302" s="1"/>
      <c r="G302" s="49"/>
      <c r="H302" s="19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56"/>
      <c r="B303" s="56"/>
      <c r="C303" s="56"/>
      <c r="D303" s="1"/>
      <c r="E303" s="1"/>
      <c r="F303" s="1"/>
      <c r="G303" s="49"/>
      <c r="H303" s="19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56"/>
      <c r="B304" s="56"/>
      <c r="C304" s="56"/>
      <c r="D304" s="1"/>
      <c r="E304" s="1"/>
      <c r="F304" s="1"/>
      <c r="G304" s="49"/>
      <c r="H304" s="19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56"/>
      <c r="B305" s="56"/>
      <c r="C305" s="56"/>
      <c r="D305" s="1"/>
      <c r="E305" s="1"/>
      <c r="F305" s="1"/>
      <c r="G305" s="49"/>
      <c r="H305" s="19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56"/>
      <c r="B306" s="56"/>
      <c r="C306" s="56"/>
      <c r="D306" s="1"/>
      <c r="E306" s="1"/>
      <c r="F306" s="1"/>
      <c r="G306" s="49"/>
      <c r="H306" s="19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56"/>
      <c r="B307" s="56"/>
      <c r="C307" s="56"/>
      <c r="D307" s="1"/>
      <c r="E307" s="1"/>
      <c r="F307" s="1"/>
      <c r="G307" s="49"/>
      <c r="H307" s="19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56"/>
      <c r="B308" s="56"/>
      <c r="C308" s="56"/>
      <c r="D308" s="1"/>
      <c r="E308" s="1"/>
      <c r="F308" s="1"/>
      <c r="G308" s="49"/>
      <c r="H308" s="19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56"/>
      <c r="B309" s="56"/>
      <c r="C309" s="56"/>
      <c r="D309" s="1"/>
      <c r="E309" s="1"/>
      <c r="F309" s="1"/>
      <c r="G309" s="49"/>
      <c r="H309" s="19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56"/>
      <c r="B310" s="56"/>
      <c r="C310" s="56"/>
      <c r="D310" s="1"/>
      <c r="E310" s="1"/>
      <c r="F310" s="1"/>
      <c r="G310" s="49"/>
      <c r="H310" s="19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56"/>
      <c r="B311" s="56"/>
      <c r="C311" s="56"/>
      <c r="D311" s="1"/>
      <c r="E311" s="1"/>
      <c r="F311" s="1"/>
      <c r="G311" s="49"/>
      <c r="H311" s="19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56"/>
      <c r="B312" s="56"/>
      <c r="C312" s="56"/>
      <c r="D312" s="1"/>
      <c r="E312" s="1"/>
      <c r="F312" s="1"/>
      <c r="G312" s="49"/>
      <c r="H312" s="19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56"/>
      <c r="B313" s="56"/>
      <c r="C313" s="56"/>
      <c r="D313" s="1"/>
      <c r="E313" s="1"/>
      <c r="F313" s="1"/>
      <c r="G313" s="49"/>
      <c r="H313" s="19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56"/>
      <c r="B314" s="56"/>
      <c r="C314" s="56"/>
      <c r="D314" s="1"/>
      <c r="E314" s="1"/>
      <c r="F314" s="1"/>
      <c r="G314" s="49"/>
      <c r="H314" s="19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56"/>
      <c r="B315" s="56"/>
      <c r="C315" s="56"/>
      <c r="D315" s="1"/>
      <c r="E315" s="1"/>
      <c r="F315" s="1"/>
      <c r="G315" s="49"/>
      <c r="H315" s="19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56"/>
      <c r="B316" s="56"/>
      <c r="C316" s="56"/>
      <c r="D316" s="1"/>
      <c r="E316" s="1"/>
      <c r="F316" s="1"/>
      <c r="G316" s="49"/>
      <c r="H316" s="19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56"/>
      <c r="B317" s="56"/>
      <c r="C317" s="56"/>
      <c r="D317" s="1"/>
      <c r="E317" s="1"/>
      <c r="F317" s="1"/>
      <c r="G317" s="49"/>
      <c r="H317" s="19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56"/>
      <c r="B318" s="56"/>
      <c r="C318" s="56"/>
      <c r="D318" s="1"/>
      <c r="E318" s="1"/>
      <c r="F318" s="1"/>
      <c r="G318" s="49"/>
      <c r="H318" s="19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56"/>
      <c r="B319" s="56"/>
      <c r="C319" s="56"/>
      <c r="D319" s="1"/>
      <c r="E319" s="1"/>
      <c r="F319" s="1"/>
      <c r="G319" s="49"/>
      <c r="H319" s="19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56"/>
      <c r="B320" s="56"/>
      <c r="C320" s="56"/>
      <c r="D320" s="1"/>
      <c r="E320" s="1"/>
      <c r="F320" s="1"/>
      <c r="G320" s="49"/>
      <c r="H320" s="19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56"/>
      <c r="B321" s="56"/>
      <c r="C321" s="56"/>
      <c r="D321" s="1"/>
      <c r="E321" s="1"/>
      <c r="F321" s="1"/>
      <c r="G321" s="49"/>
      <c r="H321" s="19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56"/>
      <c r="B322" s="56"/>
      <c r="C322" s="56"/>
      <c r="D322" s="1"/>
      <c r="E322" s="1"/>
      <c r="F322" s="1"/>
      <c r="G322" s="49"/>
      <c r="H322" s="19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56"/>
      <c r="B323" s="56"/>
      <c r="C323" s="56"/>
      <c r="D323" s="1"/>
      <c r="E323" s="1"/>
      <c r="F323" s="1"/>
      <c r="G323" s="49"/>
      <c r="H323" s="19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56"/>
      <c r="B324" s="56"/>
      <c r="C324" s="56"/>
      <c r="D324" s="1"/>
      <c r="E324" s="1"/>
      <c r="F324" s="1"/>
      <c r="G324" s="49"/>
      <c r="H324" s="19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56"/>
      <c r="B325" s="56"/>
      <c r="C325" s="56"/>
      <c r="D325" s="1"/>
      <c r="E325" s="1"/>
      <c r="F325" s="1"/>
      <c r="G325" s="49"/>
      <c r="H325" s="19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56"/>
      <c r="B326" s="56"/>
      <c r="C326" s="56"/>
      <c r="D326" s="1"/>
      <c r="E326" s="1"/>
      <c r="F326" s="1"/>
      <c r="G326" s="49"/>
      <c r="H326" s="19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56"/>
      <c r="B327" s="56"/>
      <c r="C327" s="56"/>
      <c r="D327" s="1"/>
      <c r="E327" s="1"/>
      <c r="F327" s="1"/>
      <c r="G327" s="49"/>
      <c r="H327" s="19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56"/>
      <c r="B328" s="56"/>
      <c r="C328" s="56"/>
      <c r="D328" s="1"/>
      <c r="E328" s="1"/>
      <c r="F328" s="1"/>
      <c r="G328" s="49"/>
      <c r="H328" s="19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56"/>
      <c r="B329" s="56"/>
      <c r="C329" s="56"/>
      <c r="D329" s="1"/>
      <c r="E329" s="1"/>
      <c r="F329" s="1"/>
      <c r="G329" s="49"/>
      <c r="H329" s="19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56"/>
      <c r="B330" s="56"/>
      <c r="C330" s="56"/>
      <c r="D330" s="1"/>
      <c r="E330" s="1"/>
      <c r="F330" s="1"/>
      <c r="G330" s="49"/>
      <c r="H330" s="19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56"/>
      <c r="B331" s="56"/>
      <c r="C331" s="56"/>
      <c r="D331" s="1"/>
      <c r="E331" s="1"/>
      <c r="F331" s="1"/>
      <c r="G331" s="49"/>
      <c r="H331" s="19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56"/>
      <c r="B332" s="56"/>
      <c r="C332" s="56"/>
      <c r="D332" s="1"/>
      <c r="E332" s="1"/>
      <c r="F332" s="1"/>
      <c r="G332" s="49"/>
      <c r="H332" s="19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56"/>
      <c r="B333" s="56"/>
      <c r="C333" s="56"/>
      <c r="D333" s="1"/>
      <c r="E333" s="1"/>
      <c r="F333" s="1"/>
      <c r="G333" s="49"/>
      <c r="H333" s="19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56"/>
      <c r="B334" s="56"/>
      <c r="C334" s="56"/>
      <c r="D334" s="1"/>
      <c r="E334" s="1"/>
      <c r="F334" s="1"/>
      <c r="G334" s="49"/>
      <c r="H334" s="19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56"/>
      <c r="B335" s="56"/>
      <c r="C335" s="56"/>
      <c r="D335" s="1"/>
      <c r="E335" s="1"/>
      <c r="F335" s="1"/>
      <c r="G335" s="49"/>
      <c r="H335" s="19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56"/>
      <c r="B336" s="56"/>
      <c r="C336" s="56"/>
      <c r="D336" s="1"/>
      <c r="E336" s="1"/>
      <c r="F336" s="1"/>
      <c r="G336" s="49"/>
      <c r="H336" s="19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56"/>
      <c r="B337" s="56"/>
      <c r="C337" s="56"/>
      <c r="D337" s="1"/>
      <c r="E337" s="1"/>
      <c r="F337" s="1"/>
      <c r="G337" s="49"/>
      <c r="H337" s="19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56"/>
      <c r="B338" s="56"/>
      <c r="C338" s="56"/>
      <c r="D338" s="1"/>
      <c r="E338" s="1"/>
      <c r="F338" s="1"/>
      <c r="G338" s="49"/>
      <c r="H338" s="19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56"/>
      <c r="B339" s="56"/>
      <c r="C339" s="56"/>
      <c r="D339" s="1"/>
      <c r="E339" s="1"/>
      <c r="F339" s="1"/>
      <c r="G339" s="49"/>
      <c r="H339" s="19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56"/>
      <c r="B340" s="56"/>
      <c r="C340" s="56"/>
      <c r="D340" s="1"/>
      <c r="E340" s="1"/>
      <c r="F340" s="1"/>
      <c r="G340" s="49"/>
      <c r="H340" s="19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56"/>
      <c r="B341" s="56"/>
      <c r="C341" s="56"/>
      <c r="D341" s="1"/>
      <c r="E341" s="1"/>
      <c r="F341" s="1"/>
      <c r="G341" s="49"/>
      <c r="H341" s="19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56"/>
      <c r="B342" s="56"/>
      <c r="C342" s="56"/>
      <c r="D342" s="1"/>
      <c r="E342" s="1"/>
      <c r="F342" s="1"/>
      <c r="G342" s="49"/>
      <c r="H342" s="19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56"/>
      <c r="B343" s="56"/>
      <c r="C343" s="56"/>
      <c r="D343" s="1"/>
      <c r="E343" s="1"/>
      <c r="F343" s="1"/>
      <c r="G343" s="49"/>
      <c r="H343" s="19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56"/>
      <c r="B344" s="56"/>
      <c r="C344" s="56"/>
      <c r="D344" s="1"/>
      <c r="E344" s="1"/>
      <c r="F344" s="1"/>
      <c r="G344" s="49"/>
      <c r="H344" s="19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56"/>
      <c r="B345" s="56"/>
      <c r="C345" s="56"/>
      <c r="D345" s="1"/>
      <c r="E345" s="1"/>
      <c r="F345" s="1"/>
      <c r="G345" s="49"/>
      <c r="H345" s="19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56"/>
      <c r="B346" s="56"/>
      <c r="C346" s="56"/>
      <c r="D346" s="1"/>
      <c r="E346" s="1"/>
      <c r="F346" s="1"/>
      <c r="G346" s="49"/>
      <c r="H346" s="19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56"/>
      <c r="B347" s="56"/>
      <c r="C347" s="56"/>
      <c r="D347" s="1"/>
      <c r="E347" s="1"/>
      <c r="F347" s="1"/>
      <c r="G347" s="49"/>
      <c r="H347" s="19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56"/>
      <c r="B348" s="56"/>
      <c r="C348" s="56"/>
      <c r="D348" s="1"/>
      <c r="E348" s="1"/>
      <c r="F348" s="1"/>
      <c r="G348" s="49"/>
      <c r="H348" s="19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56"/>
      <c r="B349" s="56"/>
      <c r="C349" s="56"/>
      <c r="D349" s="1"/>
      <c r="E349" s="1"/>
      <c r="F349" s="1"/>
      <c r="G349" s="49"/>
      <c r="H349" s="19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56"/>
      <c r="B350" s="56"/>
      <c r="C350" s="56"/>
      <c r="D350" s="1"/>
      <c r="E350" s="1"/>
      <c r="F350" s="1"/>
      <c r="G350" s="49"/>
      <c r="H350" s="19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56"/>
      <c r="B351" s="56"/>
      <c r="C351" s="56"/>
      <c r="D351" s="1"/>
      <c r="E351" s="1"/>
      <c r="F351" s="1"/>
      <c r="G351" s="49"/>
      <c r="H351" s="19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56"/>
      <c r="B352" s="56"/>
      <c r="C352" s="56"/>
      <c r="D352" s="1"/>
      <c r="E352" s="1"/>
      <c r="F352" s="1"/>
      <c r="G352" s="49"/>
      <c r="H352" s="19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56"/>
      <c r="B353" s="56"/>
      <c r="C353" s="56"/>
      <c r="D353" s="1"/>
      <c r="E353" s="1"/>
      <c r="F353" s="1"/>
      <c r="G353" s="49"/>
      <c r="H353" s="19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56"/>
      <c r="B354" s="56"/>
      <c r="C354" s="56"/>
      <c r="D354" s="1"/>
      <c r="E354" s="1"/>
      <c r="F354" s="1"/>
      <c r="G354" s="49"/>
      <c r="H354" s="19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56"/>
      <c r="B355" s="56"/>
      <c r="C355" s="56"/>
      <c r="D355" s="1"/>
      <c r="E355" s="1"/>
      <c r="F355" s="1"/>
      <c r="G355" s="49"/>
      <c r="H355" s="19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56"/>
      <c r="B356" s="56"/>
      <c r="C356" s="56"/>
      <c r="D356" s="1"/>
      <c r="E356" s="1"/>
      <c r="F356" s="1"/>
      <c r="G356" s="49"/>
      <c r="H356" s="19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56"/>
      <c r="B357" s="56"/>
      <c r="C357" s="56"/>
      <c r="D357" s="1"/>
      <c r="E357" s="1"/>
      <c r="F357" s="1"/>
      <c r="G357" s="49"/>
      <c r="H357" s="19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56"/>
      <c r="B358" s="56"/>
      <c r="C358" s="56"/>
      <c r="D358" s="1"/>
      <c r="E358" s="1"/>
      <c r="F358" s="1"/>
      <c r="G358" s="49"/>
      <c r="H358" s="19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56"/>
      <c r="B359" s="56"/>
      <c r="C359" s="56"/>
      <c r="D359" s="1"/>
      <c r="E359" s="1"/>
      <c r="F359" s="1"/>
      <c r="G359" s="49"/>
      <c r="H359" s="19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56"/>
      <c r="B360" s="56"/>
      <c r="C360" s="56"/>
      <c r="D360" s="1"/>
      <c r="E360" s="1"/>
      <c r="F360" s="1"/>
      <c r="G360" s="49"/>
      <c r="H360" s="19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56"/>
      <c r="B361" s="56"/>
      <c r="C361" s="56"/>
      <c r="D361" s="1"/>
      <c r="E361" s="1"/>
      <c r="F361" s="1"/>
      <c r="G361" s="49"/>
      <c r="H361" s="19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56"/>
      <c r="B362" s="56"/>
      <c r="C362" s="56"/>
      <c r="D362" s="1"/>
      <c r="E362" s="1"/>
      <c r="F362" s="1"/>
      <c r="G362" s="49"/>
      <c r="H362" s="19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56"/>
      <c r="B363" s="56"/>
      <c r="C363" s="56"/>
      <c r="D363" s="1"/>
      <c r="E363" s="1"/>
      <c r="F363" s="1"/>
      <c r="G363" s="49"/>
      <c r="H363" s="19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56"/>
      <c r="B364" s="56"/>
      <c r="C364" s="56"/>
      <c r="D364" s="1"/>
      <c r="E364" s="1"/>
      <c r="F364" s="1"/>
      <c r="G364" s="49"/>
      <c r="H364" s="19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56"/>
      <c r="B365" s="56"/>
      <c r="C365" s="56"/>
      <c r="D365" s="1"/>
      <c r="E365" s="1"/>
      <c r="F365" s="1"/>
      <c r="G365" s="49"/>
      <c r="H365" s="19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56"/>
      <c r="B366" s="56"/>
      <c r="C366" s="56"/>
      <c r="D366" s="1"/>
      <c r="E366" s="1"/>
      <c r="F366" s="1"/>
      <c r="G366" s="49"/>
      <c r="H366" s="19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56"/>
      <c r="B367" s="56"/>
      <c r="C367" s="56"/>
      <c r="D367" s="1"/>
      <c r="E367" s="1"/>
      <c r="F367" s="1"/>
      <c r="G367" s="49"/>
      <c r="H367" s="19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56"/>
      <c r="B368" s="56"/>
      <c r="C368" s="56"/>
      <c r="D368" s="1"/>
      <c r="E368" s="1"/>
      <c r="F368" s="1"/>
      <c r="G368" s="49"/>
      <c r="H368" s="19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56"/>
      <c r="B369" s="56"/>
      <c r="C369" s="56"/>
      <c r="D369" s="1"/>
      <c r="E369" s="1"/>
      <c r="F369" s="1"/>
      <c r="G369" s="49"/>
      <c r="H369" s="19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56"/>
      <c r="B370" s="56"/>
      <c r="C370" s="56"/>
      <c r="D370" s="1"/>
      <c r="E370" s="1"/>
      <c r="F370" s="1"/>
      <c r="G370" s="49"/>
      <c r="H370" s="19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56"/>
      <c r="B371" s="56"/>
      <c r="C371" s="56"/>
      <c r="D371" s="1"/>
      <c r="E371" s="1"/>
      <c r="F371" s="1"/>
      <c r="G371" s="49"/>
      <c r="H371" s="19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56"/>
      <c r="B372" s="56"/>
      <c r="C372" s="56"/>
      <c r="D372" s="1"/>
      <c r="E372" s="1"/>
      <c r="F372" s="1"/>
      <c r="G372" s="49"/>
      <c r="H372" s="19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56"/>
      <c r="B373" s="56"/>
      <c r="C373" s="56"/>
      <c r="D373" s="1"/>
      <c r="E373" s="1"/>
      <c r="F373" s="1"/>
      <c r="G373" s="49"/>
      <c r="H373" s="19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56"/>
      <c r="B374" s="56"/>
      <c r="C374" s="56"/>
      <c r="D374" s="1"/>
      <c r="E374" s="1"/>
      <c r="F374" s="1"/>
      <c r="G374" s="49"/>
      <c r="H374" s="19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56"/>
      <c r="B375" s="56"/>
      <c r="C375" s="56"/>
      <c r="D375" s="1"/>
      <c r="E375" s="1"/>
      <c r="F375" s="1"/>
      <c r="G375" s="49"/>
      <c r="H375" s="19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56"/>
      <c r="B376" s="56"/>
      <c r="C376" s="56"/>
      <c r="D376" s="1"/>
      <c r="E376" s="1"/>
      <c r="F376" s="1"/>
      <c r="G376" s="49"/>
      <c r="H376" s="19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56"/>
      <c r="B377" s="56"/>
      <c r="C377" s="56"/>
      <c r="D377" s="1"/>
      <c r="E377" s="1"/>
      <c r="F377" s="1"/>
      <c r="G377" s="49"/>
      <c r="H377" s="19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56"/>
      <c r="B378" s="56"/>
      <c r="C378" s="56"/>
      <c r="D378" s="1"/>
      <c r="E378" s="1"/>
      <c r="F378" s="1"/>
      <c r="G378" s="49"/>
      <c r="H378" s="19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56"/>
      <c r="B379" s="56"/>
      <c r="C379" s="56"/>
      <c r="D379" s="1"/>
      <c r="E379" s="1"/>
      <c r="F379" s="1"/>
      <c r="G379" s="49"/>
      <c r="H379" s="19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56"/>
      <c r="B380" s="56"/>
      <c r="C380" s="56"/>
      <c r="D380" s="1"/>
      <c r="E380" s="1"/>
      <c r="F380" s="1"/>
      <c r="G380" s="49"/>
      <c r="H380" s="19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56"/>
      <c r="B381" s="56"/>
      <c r="C381" s="56"/>
      <c r="D381" s="1"/>
      <c r="E381" s="1"/>
      <c r="F381" s="1"/>
      <c r="G381" s="49"/>
      <c r="H381" s="19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56"/>
      <c r="B382" s="56"/>
      <c r="C382" s="56"/>
      <c r="D382" s="1"/>
      <c r="E382" s="1"/>
      <c r="F382" s="1"/>
      <c r="G382" s="49"/>
      <c r="H382" s="19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56"/>
      <c r="B383" s="56"/>
      <c r="C383" s="56"/>
      <c r="D383" s="1"/>
      <c r="E383" s="1"/>
      <c r="F383" s="1"/>
      <c r="G383" s="49"/>
      <c r="H383" s="19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56"/>
      <c r="B384" s="56"/>
      <c r="C384" s="56"/>
      <c r="D384" s="1"/>
      <c r="E384" s="1"/>
      <c r="F384" s="1"/>
      <c r="G384" s="49"/>
      <c r="H384" s="19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56"/>
      <c r="B385" s="56"/>
      <c r="C385" s="56"/>
      <c r="D385" s="1"/>
      <c r="E385" s="1"/>
      <c r="F385" s="1"/>
      <c r="G385" s="49"/>
      <c r="H385" s="19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56"/>
      <c r="B386" s="56"/>
      <c r="C386" s="56"/>
      <c r="D386" s="1"/>
      <c r="E386" s="1"/>
      <c r="F386" s="1"/>
      <c r="G386" s="49"/>
      <c r="H386" s="19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56"/>
      <c r="B387" s="56"/>
      <c r="C387" s="56"/>
      <c r="D387" s="1"/>
      <c r="E387" s="1"/>
      <c r="F387" s="1"/>
      <c r="G387" s="49"/>
      <c r="H387" s="19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56"/>
      <c r="B388" s="56"/>
      <c r="C388" s="56"/>
      <c r="D388" s="1"/>
      <c r="E388" s="1"/>
      <c r="F388" s="1"/>
      <c r="G388" s="49"/>
      <c r="H388" s="19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56"/>
      <c r="B389" s="56"/>
      <c r="C389" s="56"/>
      <c r="D389" s="1"/>
      <c r="E389" s="1"/>
      <c r="F389" s="1"/>
      <c r="G389" s="49"/>
      <c r="H389" s="19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56"/>
      <c r="B390" s="56"/>
      <c r="C390" s="56"/>
      <c r="D390" s="1"/>
      <c r="E390" s="1"/>
      <c r="F390" s="1"/>
      <c r="G390" s="49"/>
      <c r="H390" s="19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56"/>
      <c r="B391" s="56"/>
      <c r="C391" s="56"/>
      <c r="D391" s="1"/>
      <c r="E391" s="1"/>
      <c r="F391" s="1"/>
      <c r="G391" s="49"/>
      <c r="H391" s="19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56"/>
      <c r="B392" s="56"/>
      <c r="C392" s="56"/>
      <c r="D392" s="1"/>
      <c r="E392" s="1"/>
      <c r="F392" s="1"/>
      <c r="G392" s="49"/>
      <c r="H392" s="19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56"/>
      <c r="B393" s="56"/>
      <c r="C393" s="56"/>
      <c r="D393" s="1"/>
      <c r="E393" s="1"/>
      <c r="F393" s="1"/>
      <c r="G393" s="49"/>
      <c r="H393" s="19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56"/>
      <c r="B394" s="56"/>
      <c r="C394" s="56"/>
      <c r="D394" s="1"/>
      <c r="E394" s="1"/>
      <c r="F394" s="1"/>
      <c r="G394" s="49"/>
      <c r="H394" s="19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56"/>
      <c r="B395" s="56"/>
      <c r="C395" s="56"/>
      <c r="D395" s="1"/>
      <c r="E395" s="1"/>
      <c r="F395" s="1"/>
      <c r="G395" s="49"/>
      <c r="H395" s="19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56"/>
      <c r="B396" s="56"/>
      <c r="C396" s="56"/>
      <c r="D396" s="1"/>
      <c r="E396" s="1"/>
      <c r="F396" s="1"/>
      <c r="G396" s="49"/>
      <c r="H396" s="19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56"/>
      <c r="B397" s="56"/>
      <c r="C397" s="56"/>
      <c r="D397" s="1"/>
      <c r="E397" s="1"/>
      <c r="F397" s="1"/>
      <c r="G397" s="49"/>
      <c r="H397" s="19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56"/>
      <c r="B398" s="56"/>
      <c r="C398" s="56"/>
      <c r="D398" s="1"/>
      <c r="E398" s="1"/>
      <c r="F398" s="1"/>
      <c r="G398" s="49"/>
      <c r="H398" s="19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56"/>
      <c r="B399" s="56"/>
      <c r="C399" s="56"/>
      <c r="D399" s="1"/>
      <c r="E399" s="1"/>
      <c r="F399" s="1"/>
      <c r="G399" s="49"/>
      <c r="H399" s="19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56"/>
      <c r="B400" s="56"/>
      <c r="C400" s="56"/>
      <c r="D400" s="1"/>
      <c r="E400" s="1"/>
      <c r="F400" s="1"/>
      <c r="G400" s="49"/>
      <c r="H400" s="19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56"/>
      <c r="B401" s="56"/>
      <c r="C401" s="56"/>
      <c r="D401" s="1"/>
      <c r="E401" s="1"/>
      <c r="F401" s="1"/>
      <c r="G401" s="49"/>
      <c r="H401" s="19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56"/>
      <c r="B402" s="56"/>
      <c r="C402" s="56"/>
      <c r="D402" s="1"/>
      <c r="E402" s="1"/>
      <c r="F402" s="1"/>
      <c r="G402" s="49"/>
      <c r="H402" s="19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56"/>
      <c r="B403" s="56"/>
      <c r="C403" s="56"/>
      <c r="D403" s="1"/>
      <c r="E403" s="1"/>
      <c r="F403" s="1"/>
      <c r="G403" s="49"/>
      <c r="H403" s="19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56"/>
      <c r="B404" s="56"/>
      <c r="C404" s="56"/>
      <c r="D404" s="1"/>
      <c r="E404" s="1"/>
      <c r="F404" s="1"/>
      <c r="G404" s="49"/>
      <c r="H404" s="19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56"/>
      <c r="B405" s="56"/>
      <c r="C405" s="56"/>
      <c r="D405" s="1"/>
      <c r="E405" s="1"/>
      <c r="F405" s="1"/>
      <c r="G405" s="49"/>
      <c r="H405" s="19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56"/>
      <c r="B406" s="56"/>
      <c r="C406" s="56"/>
      <c r="D406" s="1"/>
      <c r="E406" s="1"/>
      <c r="F406" s="1"/>
      <c r="G406" s="49"/>
      <c r="H406" s="19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56"/>
      <c r="B407" s="56"/>
      <c r="C407" s="56"/>
      <c r="D407" s="1"/>
      <c r="E407" s="1"/>
      <c r="F407" s="1"/>
      <c r="G407" s="49"/>
      <c r="H407" s="19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56"/>
      <c r="B408" s="56"/>
      <c r="C408" s="56"/>
      <c r="D408" s="1"/>
      <c r="E408" s="1"/>
      <c r="F408" s="1"/>
      <c r="G408" s="49"/>
      <c r="H408" s="19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56"/>
      <c r="B409" s="56"/>
      <c r="C409" s="56"/>
      <c r="D409" s="1"/>
      <c r="E409" s="1"/>
      <c r="F409" s="1"/>
      <c r="G409" s="49"/>
      <c r="H409" s="19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56"/>
      <c r="B410" s="56"/>
      <c r="C410" s="56"/>
      <c r="D410" s="1"/>
      <c r="E410" s="1"/>
      <c r="F410" s="1"/>
      <c r="G410" s="49"/>
      <c r="H410" s="19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56"/>
      <c r="B411" s="56"/>
      <c r="C411" s="56"/>
      <c r="D411" s="1"/>
      <c r="E411" s="1"/>
      <c r="F411" s="1"/>
      <c r="G411" s="49"/>
      <c r="H411" s="19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56"/>
      <c r="B412" s="56"/>
      <c r="C412" s="56"/>
      <c r="D412" s="1"/>
      <c r="E412" s="1"/>
      <c r="F412" s="1"/>
      <c r="G412" s="49"/>
      <c r="H412" s="19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56"/>
      <c r="B413" s="56"/>
      <c r="C413" s="56"/>
      <c r="D413" s="1"/>
      <c r="E413" s="1"/>
      <c r="F413" s="1"/>
      <c r="G413" s="49"/>
      <c r="H413" s="19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56"/>
      <c r="B414" s="56"/>
      <c r="C414" s="56"/>
      <c r="D414" s="1"/>
      <c r="E414" s="1"/>
      <c r="F414" s="1"/>
      <c r="G414" s="49"/>
      <c r="H414" s="19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56"/>
      <c r="B415" s="56"/>
      <c r="C415" s="56"/>
      <c r="D415" s="1"/>
      <c r="E415" s="1"/>
      <c r="F415" s="1"/>
      <c r="G415" s="49"/>
      <c r="H415" s="19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56"/>
      <c r="B416" s="56"/>
      <c r="C416" s="56"/>
      <c r="D416" s="1"/>
      <c r="E416" s="1"/>
      <c r="F416" s="1"/>
      <c r="G416" s="49"/>
      <c r="H416" s="19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56"/>
      <c r="B417" s="56"/>
      <c r="C417" s="56"/>
      <c r="D417" s="1"/>
      <c r="E417" s="1"/>
      <c r="F417" s="1"/>
      <c r="G417" s="49"/>
      <c r="H417" s="19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56"/>
      <c r="B418" s="56"/>
      <c r="C418" s="56"/>
      <c r="D418" s="1"/>
      <c r="E418" s="1"/>
      <c r="F418" s="1"/>
      <c r="G418" s="49"/>
      <c r="H418" s="19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56"/>
      <c r="B419" s="56"/>
      <c r="C419" s="56"/>
      <c r="D419" s="1"/>
      <c r="E419" s="1"/>
      <c r="F419" s="1"/>
      <c r="G419" s="49"/>
      <c r="H419" s="19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56"/>
      <c r="B420" s="56"/>
      <c r="C420" s="56"/>
      <c r="D420" s="1"/>
      <c r="E420" s="1"/>
      <c r="F420" s="1"/>
      <c r="G420" s="49"/>
      <c r="H420" s="19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56"/>
      <c r="B421" s="56"/>
      <c r="C421" s="56"/>
      <c r="D421" s="1"/>
      <c r="E421" s="1"/>
      <c r="F421" s="1"/>
      <c r="G421" s="49"/>
      <c r="H421" s="19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56"/>
      <c r="B422" s="56"/>
      <c r="C422" s="56"/>
      <c r="D422" s="1"/>
      <c r="E422" s="1"/>
      <c r="F422" s="1"/>
      <c r="G422" s="49"/>
      <c r="H422" s="19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56"/>
      <c r="B423" s="56"/>
      <c r="C423" s="56"/>
      <c r="D423" s="1"/>
      <c r="E423" s="1"/>
      <c r="F423" s="1"/>
      <c r="G423" s="49"/>
      <c r="H423" s="19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56"/>
      <c r="B424" s="56"/>
      <c r="C424" s="56"/>
      <c r="D424" s="1"/>
      <c r="E424" s="1"/>
      <c r="F424" s="1"/>
      <c r="G424" s="49"/>
      <c r="H424" s="19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56"/>
      <c r="B425" s="56"/>
      <c r="C425" s="56"/>
      <c r="D425" s="1"/>
      <c r="E425" s="1"/>
      <c r="F425" s="1"/>
      <c r="G425" s="49"/>
      <c r="H425" s="19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56"/>
      <c r="B426" s="56"/>
      <c r="C426" s="56"/>
      <c r="D426" s="1"/>
      <c r="E426" s="1"/>
      <c r="F426" s="1"/>
      <c r="G426" s="49"/>
      <c r="H426" s="19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56"/>
      <c r="B427" s="56"/>
      <c r="C427" s="56"/>
      <c r="D427" s="1"/>
      <c r="E427" s="1"/>
      <c r="F427" s="1"/>
      <c r="G427" s="49"/>
      <c r="H427" s="19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56"/>
      <c r="B428" s="56"/>
      <c r="C428" s="56"/>
      <c r="D428" s="1"/>
      <c r="E428" s="1"/>
      <c r="F428" s="1"/>
      <c r="G428" s="49"/>
      <c r="H428" s="19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56"/>
      <c r="B429" s="56"/>
      <c r="C429" s="56"/>
      <c r="D429" s="1"/>
      <c r="E429" s="1"/>
      <c r="F429" s="1"/>
      <c r="G429" s="49"/>
      <c r="H429" s="19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56"/>
      <c r="B430" s="56"/>
      <c r="C430" s="56"/>
      <c r="D430" s="1"/>
      <c r="E430" s="1"/>
      <c r="F430" s="1"/>
      <c r="G430" s="49"/>
      <c r="H430" s="19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56"/>
      <c r="B431" s="56"/>
      <c r="C431" s="56"/>
      <c r="D431" s="1"/>
      <c r="E431" s="1"/>
      <c r="F431" s="1"/>
      <c r="G431" s="49"/>
      <c r="H431" s="19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56"/>
      <c r="B432" s="56"/>
      <c r="C432" s="56"/>
      <c r="D432" s="1"/>
      <c r="E432" s="1"/>
      <c r="F432" s="1"/>
      <c r="G432" s="49"/>
      <c r="H432" s="19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56"/>
      <c r="B433" s="56"/>
      <c r="C433" s="56"/>
      <c r="D433" s="1"/>
      <c r="E433" s="1"/>
      <c r="F433" s="1"/>
      <c r="G433" s="49"/>
      <c r="H433" s="19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56"/>
      <c r="B434" s="56"/>
      <c r="C434" s="56"/>
      <c r="D434" s="1"/>
      <c r="E434" s="1"/>
      <c r="F434" s="1"/>
      <c r="G434" s="49"/>
      <c r="H434" s="19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56"/>
      <c r="B435" s="56"/>
      <c r="C435" s="56"/>
      <c r="D435" s="1"/>
      <c r="E435" s="1"/>
      <c r="F435" s="1"/>
      <c r="G435" s="49"/>
      <c r="H435" s="19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56"/>
      <c r="B436" s="56"/>
      <c r="C436" s="56"/>
      <c r="D436" s="1"/>
      <c r="E436" s="1"/>
      <c r="F436" s="1"/>
      <c r="G436" s="49"/>
      <c r="H436" s="19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56"/>
      <c r="B437" s="56"/>
      <c r="C437" s="56"/>
      <c r="D437" s="1"/>
      <c r="E437" s="1"/>
      <c r="F437" s="1"/>
      <c r="G437" s="49"/>
      <c r="H437" s="19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56"/>
      <c r="B438" s="56"/>
      <c r="C438" s="56"/>
      <c r="D438" s="1"/>
      <c r="E438" s="1"/>
      <c r="F438" s="1"/>
      <c r="G438" s="49"/>
      <c r="H438" s="19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56"/>
      <c r="B439" s="56"/>
      <c r="C439" s="56"/>
      <c r="D439" s="1"/>
      <c r="E439" s="1"/>
      <c r="F439" s="1"/>
      <c r="G439" s="49"/>
      <c r="H439" s="19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56"/>
      <c r="B440" s="56"/>
      <c r="C440" s="56"/>
      <c r="D440" s="1"/>
      <c r="E440" s="1"/>
      <c r="F440" s="1"/>
      <c r="G440" s="49"/>
      <c r="H440" s="19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56"/>
      <c r="B441" s="56"/>
      <c r="C441" s="56"/>
      <c r="D441" s="1"/>
      <c r="E441" s="1"/>
      <c r="F441" s="1"/>
      <c r="G441" s="49"/>
      <c r="H441" s="19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56"/>
      <c r="B442" s="56"/>
      <c r="C442" s="56"/>
      <c r="D442" s="1"/>
      <c r="E442" s="1"/>
      <c r="F442" s="1"/>
      <c r="G442" s="49"/>
      <c r="H442" s="19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56"/>
      <c r="B443" s="56"/>
      <c r="C443" s="56"/>
      <c r="D443" s="1"/>
      <c r="E443" s="1"/>
      <c r="F443" s="1"/>
      <c r="G443" s="49"/>
      <c r="H443" s="19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56"/>
      <c r="B444" s="56"/>
      <c r="C444" s="56"/>
      <c r="D444" s="1"/>
      <c r="E444" s="1"/>
      <c r="F444" s="1"/>
      <c r="G444" s="49"/>
      <c r="H444" s="19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56"/>
      <c r="B445" s="56"/>
      <c r="C445" s="56"/>
      <c r="D445" s="1"/>
      <c r="E445" s="1"/>
      <c r="F445" s="1"/>
      <c r="G445" s="49"/>
      <c r="H445" s="19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56"/>
      <c r="B446" s="56"/>
      <c r="C446" s="56"/>
      <c r="D446" s="1"/>
      <c r="E446" s="1"/>
      <c r="F446" s="1"/>
      <c r="G446" s="49"/>
      <c r="H446" s="19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56"/>
      <c r="B447" s="56"/>
      <c r="C447" s="56"/>
      <c r="D447" s="1"/>
      <c r="E447" s="1"/>
      <c r="F447" s="1"/>
      <c r="G447" s="49"/>
      <c r="H447" s="19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56"/>
      <c r="B448" s="56"/>
      <c r="C448" s="56"/>
      <c r="D448" s="1"/>
      <c r="E448" s="1"/>
      <c r="F448" s="1"/>
      <c r="G448" s="49"/>
      <c r="H448" s="19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56"/>
      <c r="B449" s="56"/>
      <c r="C449" s="56"/>
      <c r="D449" s="1"/>
      <c r="E449" s="1"/>
      <c r="F449" s="1"/>
      <c r="G449" s="49"/>
      <c r="H449" s="19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56"/>
      <c r="B450" s="56"/>
      <c r="C450" s="56"/>
      <c r="D450" s="1"/>
      <c r="E450" s="1"/>
      <c r="F450" s="1"/>
      <c r="G450" s="49"/>
      <c r="H450" s="19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56"/>
      <c r="B451" s="56"/>
      <c r="C451" s="56"/>
      <c r="D451" s="1"/>
      <c r="E451" s="1"/>
      <c r="F451" s="1"/>
      <c r="G451" s="49"/>
      <c r="H451" s="19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56"/>
      <c r="B452" s="56"/>
      <c r="C452" s="56"/>
      <c r="D452" s="1"/>
      <c r="E452" s="1"/>
      <c r="F452" s="1"/>
      <c r="G452" s="49"/>
      <c r="H452" s="19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56"/>
      <c r="B453" s="56"/>
      <c r="C453" s="56"/>
      <c r="D453" s="1"/>
      <c r="E453" s="1"/>
      <c r="F453" s="1"/>
      <c r="G453" s="49"/>
      <c r="H453" s="19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56"/>
      <c r="B454" s="56"/>
      <c r="C454" s="56"/>
      <c r="D454" s="1"/>
      <c r="E454" s="1"/>
      <c r="F454" s="1"/>
      <c r="G454" s="49"/>
      <c r="H454" s="19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56"/>
      <c r="B455" s="56"/>
      <c r="C455" s="56"/>
      <c r="D455" s="1"/>
      <c r="E455" s="1"/>
      <c r="F455" s="1"/>
      <c r="G455" s="49"/>
      <c r="H455" s="19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56"/>
      <c r="B456" s="56"/>
      <c r="C456" s="56"/>
      <c r="D456" s="1"/>
      <c r="E456" s="1"/>
      <c r="F456" s="1"/>
      <c r="G456" s="49"/>
      <c r="H456" s="19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56"/>
      <c r="B457" s="56"/>
      <c r="C457" s="56"/>
      <c r="D457" s="1"/>
      <c r="E457" s="1"/>
      <c r="F457" s="1"/>
      <c r="G457" s="49"/>
      <c r="H457" s="19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56"/>
      <c r="B458" s="56"/>
      <c r="C458" s="56"/>
      <c r="D458" s="1"/>
      <c r="E458" s="1"/>
      <c r="F458" s="1"/>
      <c r="G458" s="49"/>
      <c r="H458" s="19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56"/>
      <c r="B459" s="56"/>
      <c r="C459" s="56"/>
      <c r="D459" s="1"/>
      <c r="E459" s="1"/>
      <c r="F459" s="1"/>
      <c r="G459" s="49"/>
      <c r="H459" s="19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56"/>
      <c r="B460" s="56"/>
      <c r="C460" s="56"/>
      <c r="D460" s="1"/>
      <c r="E460" s="1"/>
      <c r="F460" s="1"/>
      <c r="G460" s="49"/>
      <c r="H460" s="19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56"/>
      <c r="B461" s="56"/>
      <c r="C461" s="56"/>
      <c r="D461" s="1"/>
      <c r="E461" s="1"/>
      <c r="F461" s="1"/>
      <c r="G461" s="49"/>
      <c r="H461" s="19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56"/>
      <c r="B462" s="56"/>
      <c r="C462" s="56"/>
      <c r="D462" s="1"/>
      <c r="E462" s="1"/>
      <c r="F462" s="1"/>
      <c r="G462" s="49"/>
      <c r="H462" s="19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56"/>
      <c r="B463" s="56"/>
      <c r="C463" s="56"/>
      <c r="D463" s="1"/>
      <c r="E463" s="1"/>
      <c r="F463" s="1"/>
      <c r="G463" s="49"/>
      <c r="H463" s="19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56"/>
      <c r="B464" s="56"/>
      <c r="C464" s="56"/>
      <c r="D464" s="1"/>
      <c r="E464" s="1"/>
      <c r="F464" s="1"/>
      <c r="G464" s="49"/>
      <c r="H464" s="19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56"/>
      <c r="B465" s="56"/>
      <c r="C465" s="56"/>
      <c r="D465" s="1"/>
      <c r="E465" s="1"/>
      <c r="F465" s="1"/>
      <c r="G465" s="49"/>
      <c r="H465" s="19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56"/>
      <c r="B466" s="56"/>
      <c r="C466" s="56"/>
      <c r="D466" s="1"/>
      <c r="E466" s="1"/>
      <c r="F466" s="1"/>
      <c r="G466" s="49"/>
      <c r="H466" s="19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56"/>
      <c r="B467" s="56"/>
      <c r="C467" s="56"/>
      <c r="D467" s="1"/>
      <c r="E467" s="1"/>
      <c r="F467" s="1"/>
      <c r="G467" s="49"/>
      <c r="H467" s="19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56"/>
      <c r="B468" s="56"/>
      <c r="C468" s="56"/>
      <c r="D468" s="1"/>
      <c r="E468" s="1"/>
      <c r="F468" s="1"/>
      <c r="G468" s="49"/>
      <c r="H468" s="19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56"/>
      <c r="B469" s="56"/>
      <c r="C469" s="56"/>
      <c r="D469" s="1"/>
      <c r="E469" s="1"/>
      <c r="F469" s="1"/>
      <c r="G469" s="49"/>
      <c r="H469" s="19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56"/>
      <c r="B470" s="56"/>
      <c r="C470" s="56"/>
      <c r="D470" s="1"/>
      <c r="E470" s="1"/>
      <c r="F470" s="1"/>
      <c r="G470" s="49"/>
      <c r="H470" s="19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56"/>
      <c r="B471" s="56"/>
      <c r="C471" s="56"/>
      <c r="D471" s="1"/>
      <c r="E471" s="1"/>
      <c r="F471" s="1"/>
      <c r="G471" s="49"/>
      <c r="H471" s="19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56"/>
      <c r="B472" s="56"/>
      <c r="C472" s="56"/>
      <c r="D472" s="1"/>
      <c r="E472" s="1"/>
      <c r="F472" s="1"/>
      <c r="G472" s="49"/>
      <c r="H472" s="19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56"/>
      <c r="B473" s="56"/>
      <c r="C473" s="56"/>
      <c r="D473" s="1"/>
      <c r="E473" s="1"/>
      <c r="F473" s="1"/>
      <c r="G473" s="49"/>
      <c r="H473" s="19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56"/>
      <c r="B474" s="56"/>
      <c r="C474" s="56"/>
      <c r="D474" s="1"/>
      <c r="E474" s="1"/>
      <c r="F474" s="1"/>
      <c r="G474" s="49"/>
      <c r="H474" s="19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56"/>
      <c r="B475" s="56"/>
      <c r="C475" s="56"/>
      <c r="D475" s="1"/>
      <c r="E475" s="1"/>
      <c r="F475" s="1"/>
      <c r="G475" s="49"/>
      <c r="H475" s="19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56"/>
      <c r="B476" s="56"/>
      <c r="C476" s="56"/>
      <c r="D476" s="1"/>
      <c r="E476" s="1"/>
      <c r="F476" s="1"/>
      <c r="G476" s="49"/>
      <c r="H476" s="19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56"/>
      <c r="B477" s="56"/>
      <c r="C477" s="56"/>
      <c r="D477" s="1"/>
      <c r="E477" s="1"/>
      <c r="F477" s="1"/>
      <c r="G477" s="49"/>
      <c r="H477" s="19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56"/>
      <c r="B478" s="56"/>
      <c r="C478" s="56"/>
      <c r="D478" s="1"/>
      <c r="E478" s="1"/>
      <c r="F478" s="1"/>
      <c r="G478" s="49"/>
      <c r="H478" s="19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56"/>
      <c r="B479" s="56"/>
      <c r="C479" s="56"/>
      <c r="D479" s="1"/>
      <c r="E479" s="1"/>
      <c r="F479" s="1"/>
      <c r="G479" s="49"/>
      <c r="H479" s="19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56"/>
      <c r="B480" s="56"/>
      <c r="C480" s="56"/>
      <c r="D480" s="1"/>
      <c r="E480" s="1"/>
      <c r="F480" s="1"/>
      <c r="G480" s="49"/>
      <c r="H480" s="19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56"/>
      <c r="B481" s="56"/>
      <c r="C481" s="56"/>
      <c r="D481" s="1"/>
      <c r="E481" s="1"/>
      <c r="F481" s="1"/>
      <c r="G481" s="49"/>
      <c r="H481" s="19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56"/>
      <c r="B482" s="56"/>
      <c r="C482" s="56"/>
      <c r="D482" s="1"/>
      <c r="E482" s="1"/>
      <c r="F482" s="1"/>
      <c r="G482" s="49"/>
      <c r="H482" s="19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56"/>
      <c r="B483" s="56"/>
      <c r="C483" s="56"/>
      <c r="D483" s="1"/>
      <c r="E483" s="1"/>
      <c r="F483" s="1"/>
      <c r="G483" s="49"/>
      <c r="H483" s="19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56"/>
      <c r="B484" s="56"/>
      <c r="C484" s="56"/>
      <c r="D484" s="1"/>
      <c r="E484" s="1"/>
      <c r="F484" s="1"/>
      <c r="G484" s="49"/>
      <c r="H484" s="19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56"/>
      <c r="B485" s="56"/>
      <c r="C485" s="56"/>
      <c r="D485" s="1"/>
      <c r="E485" s="1"/>
      <c r="F485" s="1"/>
      <c r="G485" s="49"/>
      <c r="H485" s="19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56"/>
      <c r="B486" s="56"/>
      <c r="C486" s="56"/>
      <c r="D486" s="1"/>
      <c r="E486" s="1"/>
      <c r="F486" s="1"/>
      <c r="G486" s="49"/>
      <c r="H486" s="19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56"/>
      <c r="B487" s="56"/>
      <c r="C487" s="56"/>
      <c r="D487" s="1"/>
      <c r="E487" s="1"/>
      <c r="F487" s="1"/>
      <c r="G487" s="49"/>
      <c r="H487" s="19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56"/>
      <c r="B488" s="56"/>
      <c r="C488" s="56"/>
      <c r="D488" s="1"/>
      <c r="E488" s="1"/>
      <c r="F488" s="1"/>
      <c r="G488" s="49"/>
      <c r="H488" s="19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56"/>
      <c r="B489" s="56"/>
      <c r="C489" s="56"/>
      <c r="D489" s="1"/>
      <c r="E489" s="1"/>
      <c r="F489" s="1"/>
      <c r="G489" s="49"/>
      <c r="H489" s="19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56"/>
      <c r="B490" s="56"/>
      <c r="C490" s="56"/>
      <c r="D490" s="1"/>
      <c r="E490" s="1"/>
      <c r="F490" s="1"/>
      <c r="G490" s="49"/>
      <c r="H490" s="19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56"/>
      <c r="B491" s="56"/>
      <c r="C491" s="56"/>
      <c r="D491" s="1"/>
      <c r="E491" s="1"/>
      <c r="F491" s="1"/>
      <c r="G491" s="49"/>
      <c r="H491" s="19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56"/>
      <c r="B492" s="56"/>
      <c r="C492" s="56"/>
      <c r="D492" s="1"/>
      <c r="E492" s="1"/>
      <c r="F492" s="1"/>
      <c r="G492" s="49"/>
      <c r="H492" s="19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56"/>
      <c r="B493" s="56"/>
      <c r="C493" s="56"/>
      <c r="D493" s="1"/>
      <c r="E493" s="1"/>
      <c r="F493" s="1"/>
      <c r="G493" s="49"/>
      <c r="H493" s="19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56"/>
      <c r="B494" s="56"/>
      <c r="C494" s="56"/>
      <c r="D494" s="1"/>
      <c r="E494" s="1"/>
      <c r="F494" s="1"/>
      <c r="G494" s="49"/>
      <c r="H494" s="19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56"/>
      <c r="B495" s="56"/>
      <c r="C495" s="56"/>
      <c r="D495" s="1"/>
      <c r="E495" s="1"/>
      <c r="F495" s="1"/>
      <c r="G495" s="49"/>
      <c r="H495" s="19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56"/>
      <c r="B496" s="56"/>
      <c r="C496" s="56"/>
      <c r="D496" s="1"/>
      <c r="E496" s="1"/>
      <c r="F496" s="1"/>
      <c r="G496" s="49"/>
      <c r="H496" s="19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56"/>
      <c r="B497" s="56"/>
      <c r="C497" s="56"/>
      <c r="D497" s="1"/>
      <c r="E497" s="1"/>
      <c r="F497" s="1"/>
      <c r="G497" s="49"/>
      <c r="H497" s="19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56"/>
      <c r="B498" s="56"/>
      <c r="C498" s="56"/>
      <c r="D498" s="1"/>
      <c r="E498" s="1"/>
      <c r="F498" s="1"/>
      <c r="G498" s="49"/>
      <c r="H498" s="19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56"/>
      <c r="B499" s="56"/>
      <c r="C499" s="56"/>
      <c r="D499" s="1"/>
      <c r="E499" s="1"/>
      <c r="F499" s="1"/>
      <c r="G499" s="49"/>
      <c r="H499" s="19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56"/>
      <c r="B500" s="56"/>
      <c r="C500" s="56"/>
      <c r="D500" s="1"/>
      <c r="E500" s="1"/>
      <c r="F500" s="1"/>
      <c r="G500" s="49"/>
      <c r="H500" s="19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56"/>
      <c r="B501" s="56"/>
      <c r="C501" s="56"/>
      <c r="D501" s="1"/>
      <c r="E501" s="1"/>
      <c r="F501" s="1"/>
      <c r="G501" s="49"/>
      <c r="H501" s="19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56"/>
      <c r="B502" s="56"/>
      <c r="C502" s="56"/>
      <c r="D502" s="1"/>
      <c r="E502" s="1"/>
      <c r="F502" s="1"/>
      <c r="G502" s="49"/>
      <c r="H502" s="19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56"/>
      <c r="B503" s="56"/>
      <c r="C503" s="56"/>
      <c r="D503" s="1"/>
      <c r="E503" s="1"/>
      <c r="F503" s="1"/>
      <c r="G503" s="49"/>
      <c r="H503" s="19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56"/>
      <c r="B504" s="56"/>
      <c r="C504" s="56"/>
      <c r="D504" s="1"/>
      <c r="E504" s="1"/>
      <c r="F504" s="1"/>
      <c r="G504" s="49"/>
      <c r="H504" s="19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56"/>
      <c r="B505" s="56"/>
      <c r="C505" s="56"/>
      <c r="D505" s="1"/>
      <c r="E505" s="1"/>
      <c r="F505" s="1"/>
      <c r="G505" s="49"/>
      <c r="H505" s="19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56"/>
      <c r="B506" s="56"/>
      <c r="C506" s="56"/>
      <c r="D506" s="1"/>
      <c r="E506" s="1"/>
      <c r="F506" s="1"/>
      <c r="G506" s="49"/>
      <c r="H506" s="19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56"/>
      <c r="B507" s="56"/>
      <c r="C507" s="56"/>
      <c r="D507" s="1"/>
      <c r="E507" s="1"/>
      <c r="F507" s="1"/>
      <c r="G507" s="49"/>
      <c r="H507" s="19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56"/>
      <c r="B508" s="56"/>
      <c r="C508" s="56"/>
      <c r="D508" s="1"/>
      <c r="E508" s="1"/>
      <c r="F508" s="1"/>
      <c r="G508" s="49"/>
      <c r="H508" s="19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56"/>
      <c r="B509" s="56"/>
      <c r="C509" s="56"/>
      <c r="D509" s="1"/>
      <c r="E509" s="1"/>
      <c r="F509" s="1"/>
      <c r="G509" s="49"/>
      <c r="H509" s="19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56"/>
      <c r="B510" s="56"/>
      <c r="C510" s="56"/>
      <c r="D510" s="1"/>
      <c r="E510" s="1"/>
      <c r="F510" s="1"/>
      <c r="G510" s="49"/>
      <c r="H510" s="19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56"/>
      <c r="B511" s="56"/>
      <c r="C511" s="56"/>
      <c r="D511" s="1"/>
      <c r="E511" s="1"/>
      <c r="F511" s="1"/>
      <c r="G511" s="49"/>
      <c r="H511" s="19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56"/>
      <c r="B512" s="56"/>
      <c r="C512" s="56"/>
      <c r="D512" s="1"/>
      <c r="E512" s="1"/>
      <c r="F512" s="1"/>
      <c r="G512" s="49"/>
      <c r="H512" s="19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56"/>
      <c r="B513" s="56"/>
      <c r="C513" s="56"/>
      <c r="D513" s="1"/>
      <c r="E513" s="1"/>
      <c r="F513" s="1"/>
      <c r="G513" s="49"/>
      <c r="H513" s="19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56"/>
      <c r="B514" s="56"/>
      <c r="C514" s="56"/>
      <c r="D514" s="1"/>
      <c r="E514" s="1"/>
      <c r="F514" s="1"/>
      <c r="G514" s="49"/>
      <c r="H514" s="19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56"/>
      <c r="B515" s="56"/>
      <c r="C515" s="56"/>
      <c r="D515" s="1"/>
      <c r="E515" s="1"/>
      <c r="F515" s="1"/>
      <c r="G515" s="49"/>
      <c r="H515" s="19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56"/>
      <c r="B516" s="56"/>
      <c r="C516" s="56"/>
      <c r="D516" s="1"/>
      <c r="E516" s="1"/>
      <c r="F516" s="1"/>
      <c r="G516" s="49"/>
      <c r="H516" s="19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56"/>
      <c r="B517" s="56"/>
      <c r="C517" s="56"/>
      <c r="D517" s="1"/>
      <c r="E517" s="1"/>
      <c r="F517" s="1"/>
      <c r="G517" s="49"/>
      <c r="H517" s="19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56"/>
      <c r="B518" s="56"/>
      <c r="C518" s="56"/>
      <c r="D518" s="1"/>
      <c r="E518" s="1"/>
      <c r="F518" s="1"/>
      <c r="G518" s="49"/>
      <c r="H518" s="19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56"/>
      <c r="B519" s="56"/>
      <c r="C519" s="56"/>
      <c r="D519" s="1"/>
      <c r="E519" s="1"/>
      <c r="F519" s="1"/>
      <c r="G519" s="49"/>
      <c r="H519" s="19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56"/>
      <c r="B520" s="56"/>
      <c r="C520" s="56"/>
      <c r="D520" s="1"/>
      <c r="E520" s="1"/>
      <c r="F520" s="1"/>
      <c r="G520" s="49"/>
      <c r="H520" s="19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49"/>
      <c r="H521" s="19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49"/>
      <c r="H522" s="19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49"/>
      <c r="H523" s="19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49"/>
      <c r="H524" s="19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49"/>
      <c r="H525" s="19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49"/>
      <c r="H526" s="19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49"/>
      <c r="H527" s="19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49"/>
      <c r="H528" s="19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49"/>
      <c r="H529" s="19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49"/>
      <c r="H530" s="19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49"/>
      <c r="H531" s="19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49"/>
      <c r="H532" s="19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49"/>
      <c r="H533" s="19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49"/>
      <c r="H534" s="19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49"/>
      <c r="H535" s="19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49"/>
      <c r="H536" s="19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49"/>
      <c r="H537" s="19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49"/>
      <c r="H538" s="19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49"/>
      <c r="H539" s="19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49"/>
      <c r="H540" s="19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49"/>
      <c r="H541" s="19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49"/>
      <c r="H542" s="19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49"/>
      <c r="H543" s="19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49"/>
      <c r="H544" s="19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49"/>
      <c r="H545" s="19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49"/>
      <c r="H546" s="19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49"/>
      <c r="H547" s="19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49"/>
      <c r="H548" s="19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49"/>
      <c r="H549" s="19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49"/>
      <c r="H550" s="19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49"/>
      <c r="H551" s="19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49"/>
      <c r="H552" s="19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49"/>
      <c r="H553" s="19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49"/>
      <c r="H554" s="19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49"/>
      <c r="H555" s="19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49"/>
      <c r="H556" s="19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49"/>
      <c r="H557" s="19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49"/>
      <c r="H558" s="19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49"/>
      <c r="H559" s="19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49"/>
      <c r="H560" s="19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49"/>
      <c r="H561" s="19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49"/>
      <c r="H562" s="19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49"/>
      <c r="H563" s="19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49"/>
      <c r="H564" s="19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49"/>
      <c r="H565" s="19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49"/>
      <c r="H566" s="19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49"/>
      <c r="H567" s="19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49"/>
      <c r="H568" s="19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49"/>
      <c r="H569" s="19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49"/>
      <c r="H570" s="19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49"/>
      <c r="H571" s="19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49"/>
      <c r="H572" s="19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49"/>
      <c r="H573" s="19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49"/>
      <c r="H574" s="19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49"/>
      <c r="H575" s="19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49"/>
      <c r="H576" s="19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49"/>
      <c r="H577" s="19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49"/>
      <c r="H578" s="19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49"/>
      <c r="H579" s="19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49"/>
      <c r="H580" s="19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49"/>
      <c r="H581" s="19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49"/>
      <c r="H582" s="19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49"/>
      <c r="H583" s="19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49"/>
      <c r="H584" s="19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49"/>
      <c r="H585" s="19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49"/>
      <c r="H586" s="19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49"/>
      <c r="H587" s="19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49"/>
      <c r="H588" s="19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49"/>
      <c r="H589" s="19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49"/>
      <c r="H590" s="19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49"/>
      <c r="H591" s="19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49"/>
      <c r="H592" s="19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49"/>
      <c r="H593" s="19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49"/>
      <c r="H594" s="19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49"/>
      <c r="H595" s="19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49"/>
      <c r="H596" s="19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49"/>
      <c r="H597" s="19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49"/>
      <c r="H598" s="19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49"/>
      <c r="H599" s="19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49"/>
      <c r="H600" s="19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49"/>
      <c r="H601" s="19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49"/>
      <c r="H602" s="19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49"/>
      <c r="H603" s="19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49"/>
      <c r="H604" s="19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49"/>
      <c r="H605" s="19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49"/>
      <c r="H606" s="19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49"/>
      <c r="H607" s="19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49"/>
      <c r="H608" s="19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49"/>
      <c r="H609" s="19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49"/>
      <c r="H610" s="19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49"/>
      <c r="H611" s="19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49"/>
      <c r="H612" s="19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49"/>
      <c r="H613" s="19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49"/>
      <c r="H614" s="19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49"/>
      <c r="H615" s="19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49"/>
      <c r="H616" s="19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49"/>
      <c r="H617" s="19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49"/>
      <c r="H618" s="19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49"/>
      <c r="H619" s="19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49"/>
      <c r="H620" s="19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49"/>
      <c r="H621" s="19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49"/>
      <c r="H622" s="19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49"/>
      <c r="H623" s="19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49"/>
      <c r="H624" s="19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49"/>
      <c r="H625" s="19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49"/>
      <c r="H626" s="19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49"/>
      <c r="H627" s="19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49"/>
      <c r="H628" s="19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49"/>
      <c r="H629" s="19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49"/>
      <c r="H630" s="19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49"/>
      <c r="H631" s="19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49"/>
      <c r="H632" s="19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49"/>
      <c r="H633" s="19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49"/>
      <c r="H634" s="19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49"/>
      <c r="H635" s="19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49"/>
      <c r="H636" s="19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H637" s="214"/>
    </row>
    <row r="638">
      <c r="H638" s="214"/>
    </row>
    <row r="639">
      <c r="H639" s="214"/>
    </row>
    <row r="640">
      <c r="H640" s="214"/>
    </row>
    <row r="641">
      <c r="H641" s="214"/>
    </row>
    <row r="642">
      <c r="H642" s="214"/>
    </row>
    <row r="643">
      <c r="H643" s="214"/>
    </row>
    <row r="644">
      <c r="H644" s="214"/>
    </row>
    <row r="645">
      <c r="H645" s="214"/>
    </row>
    <row r="646">
      <c r="H646" s="214"/>
    </row>
    <row r="647">
      <c r="H647" s="214"/>
    </row>
    <row r="648">
      <c r="H648" s="214"/>
    </row>
    <row r="649">
      <c r="H649" s="214"/>
    </row>
    <row r="650">
      <c r="H650" s="214"/>
    </row>
    <row r="651">
      <c r="H651" s="214"/>
    </row>
    <row r="652">
      <c r="H652" s="214"/>
    </row>
    <row r="653">
      <c r="H653" s="214"/>
    </row>
    <row r="654">
      <c r="H654" s="214"/>
    </row>
    <row r="655">
      <c r="H655" s="214"/>
    </row>
    <row r="656">
      <c r="H656" s="214"/>
    </row>
    <row r="657">
      <c r="H657" s="214"/>
    </row>
    <row r="658">
      <c r="H658" s="214"/>
    </row>
    <row r="659">
      <c r="H659" s="214"/>
    </row>
    <row r="660">
      <c r="H660" s="214"/>
    </row>
    <row r="661">
      <c r="H661" s="214"/>
    </row>
    <row r="662">
      <c r="H662" s="214"/>
    </row>
    <row r="663">
      <c r="H663" s="214"/>
    </row>
    <row r="664">
      <c r="H664" s="214"/>
    </row>
    <row r="665">
      <c r="H665" s="214"/>
    </row>
    <row r="666">
      <c r="H666" s="214"/>
    </row>
    <row r="667">
      <c r="H667" s="214"/>
    </row>
    <row r="668">
      <c r="H668" s="214"/>
    </row>
    <row r="669">
      <c r="H669" s="214"/>
    </row>
    <row r="670">
      <c r="H670" s="214"/>
    </row>
    <row r="671">
      <c r="H671" s="214"/>
    </row>
    <row r="672">
      <c r="H672" s="214"/>
    </row>
    <row r="673">
      <c r="H673" s="214"/>
    </row>
    <row r="674">
      <c r="H674" s="214"/>
    </row>
    <row r="675">
      <c r="H675" s="214"/>
    </row>
    <row r="676">
      <c r="H676" s="214"/>
    </row>
    <row r="677">
      <c r="H677" s="214"/>
    </row>
    <row r="678">
      <c r="H678" s="214"/>
    </row>
    <row r="679">
      <c r="H679" s="214"/>
    </row>
    <row r="680">
      <c r="H680" s="214"/>
    </row>
    <row r="681">
      <c r="H681" s="214"/>
    </row>
    <row r="682">
      <c r="H682" s="214"/>
    </row>
    <row r="683">
      <c r="H683" s="214"/>
    </row>
    <row r="684">
      <c r="H684" s="214"/>
    </row>
    <row r="685">
      <c r="H685" s="214"/>
    </row>
    <row r="686">
      <c r="H686" s="214"/>
    </row>
    <row r="687">
      <c r="H687" s="214"/>
    </row>
    <row r="688">
      <c r="H688" s="214"/>
    </row>
    <row r="689">
      <c r="H689" s="214"/>
    </row>
    <row r="690">
      <c r="H690" s="214"/>
    </row>
    <row r="691">
      <c r="H691" s="214"/>
    </row>
    <row r="692">
      <c r="H692" s="214"/>
    </row>
    <row r="693">
      <c r="H693" s="214"/>
    </row>
    <row r="694">
      <c r="H694" s="214"/>
    </row>
    <row r="695">
      <c r="H695" s="214"/>
    </row>
    <row r="696">
      <c r="H696" s="214"/>
    </row>
    <row r="697">
      <c r="H697" s="214"/>
    </row>
    <row r="698">
      <c r="H698" s="214"/>
    </row>
    <row r="699">
      <c r="H699" s="214"/>
    </row>
    <row r="700">
      <c r="H700" s="214"/>
    </row>
    <row r="701">
      <c r="H701" s="214"/>
    </row>
    <row r="702">
      <c r="H702" s="214"/>
    </row>
    <row r="703">
      <c r="H703" s="214"/>
    </row>
    <row r="704">
      <c r="H704" s="214"/>
    </row>
    <row r="705">
      <c r="H705" s="214"/>
    </row>
    <row r="706">
      <c r="H706" s="214"/>
    </row>
    <row r="707">
      <c r="H707" s="214"/>
    </row>
    <row r="708">
      <c r="H708" s="214"/>
    </row>
    <row r="709">
      <c r="H709" s="214"/>
    </row>
    <row r="710">
      <c r="H710" s="214"/>
    </row>
    <row r="711">
      <c r="H711" s="214"/>
    </row>
    <row r="712">
      <c r="H712" s="214"/>
    </row>
    <row r="713">
      <c r="H713" s="214"/>
    </row>
    <row r="714">
      <c r="H714" s="214"/>
    </row>
    <row r="715">
      <c r="H715" s="214"/>
    </row>
    <row r="716">
      <c r="H716" s="214"/>
    </row>
    <row r="717">
      <c r="H717" s="214"/>
    </row>
    <row r="718">
      <c r="H718" s="214"/>
    </row>
    <row r="719">
      <c r="H719" s="214"/>
    </row>
    <row r="720">
      <c r="H720" s="214"/>
    </row>
    <row r="721">
      <c r="H721" s="214"/>
    </row>
    <row r="722">
      <c r="H722" s="214"/>
    </row>
    <row r="723">
      <c r="H723" s="214"/>
    </row>
    <row r="724">
      <c r="H724" s="214"/>
    </row>
    <row r="725">
      <c r="H725" s="214"/>
    </row>
    <row r="726">
      <c r="H726" s="214"/>
    </row>
    <row r="727">
      <c r="H727" s="214"/>
    </row>
    <row r="728">
      <c r="H728" s="214"/>
    </row>
    <row r="729">
      <c r="H729" s="214"/>
    </row>
    <row r="730">
      <c r="H730" s="214"/>
    </row>
    <row r="731">
      <c r="H731" s="214"/>
    </row>
    <row r="732">
      <c r="H732" s="214"/>
    </row>
    <row r="733">
      <c r="H733" s="214"/>
    </row>
    <row r="734">
      <c r="H734" s="214"/>
    </row>
    <row r="735">
      <c r="H735" s="214"/>
    </row>
    <row r="736">
      <c r="H736" s="214"/>
    </row>
    <row r="737">
      <c r="H737" s="214"/>
    </row>
    <row r="738">
      <c r="H738" s="214"/>
    </row>
    <row r="739">
      <c r="H739" s="214"/>
    </row>
    <row r="740">
      <c r="H740" s="214"/>
    </row>
    <row r="741">
      <c r="H741" s="214"/>
    </row>
    <row r="742">
      <c r="H742" s="214"/>
    </row>
    <row r="743">
      <c r="H743" s="214"/>
    </row>
    <row r="744">
      <c r="H744" s="214"/>
    </row>
    <row r="745">
      <c r="H745" s="214"/>
    </row>
    <row r="746">
      <c r="H746" s="214"/>
    </row>
    <row r="747">
      <c r="H747" s="214"/>
    </row>
    <row r="748">
      <c r="H748" s="214"/>
    </row>
    <row r="749">
      <c r="H749" s="214"/>
    </row>
    <row r="750">
      <c r="H750" s="214"/>
    </row>
    <row r="751">
      <c r="H751" s="214"/>
    </row>
    <row r="752">
      <c r="H752" s="214"/>
    </row>
    <row r="753">
      <c r="H753" s="214"/>
    </row>
    <row r="754">
      <c r="H754" s="214"/>
    </row>
    <row r="755">
      <c r="H755" s="214"/>
    </row>
    <row r="756">
      <c r="H756" s="214"/>
    </row>
    <row r="757">
      <c r="H757" s="214"/>
    </row>
    <row r="758">
      <c r="H758" s="214"/>
    </row>
    <row r="759">
      <c r="H759" s="214"/>
    </row>
    <row r="760">
      <c r="H760" s="214"/>
    </row>
    <row r="761">
      <c r="H761" s="214"/>
    </row>
    <row r="762">
      <c r="H762" s="214"/>
    </row>
    <row r="763">
      <c r="H763" s="214"/>
    </row>
    <row r="764">
      <c r="H764" s="214"/>
    </row>
    <row r="765">
      <c r="H765" s="214"/>
    </row>
    <row r="766">
      <c r="H766" s="214"/>
    </row>
    <row r="767">
      <c r="H767" s="214"/>
    </row>
    <row r="768">
      <c r="H768" s="214"/>
    </row>
    <row r="769">
      <c r="H769" s="214"/>
    </row>
    <row r="770">
      <c r="H770" s="214"/>
    </row>
    <row r="771">
      <c r="H771" s="214"/>
    </row>
    <row r="772">
      <c r="H772" s="214"/>
    </row>
    <row r="773">
      <c r="H773" s="214"/>
    </row>
    <row r="774">
      <c r="H774" s="214"/>
    </row>
    <row r="775">
      <c r="H775" s="214"/>
    </row>
    <row r="776">
      <c r="H776" s="214"/>
    </row>
    <row r="777">
      <c r="H777" s="214"/>
    </row>
    <row r="778">
      <c r="H778" s="214"/>
    </row>
    <row r="779">
      <c r="H779" s="214"/>
    </row>
    <row r="780">
      <c r="H780" s="214"/>
    </row>
    <row r="781">
      <c r="H781" s="214"/>
    </row>
    <row r="782">
      <c r="H782" s="214"/>
    </row>
    <row r="783">
      <c r="H783" s="214"/>
    </row>
    <row r="784">
      <c r="H784" s="214"/>
    </row>
    <row r="785">
      <c r="H785" s="214"/>
    </row>
    <row r="786">
      <c r="H786" s="214"/>
    </row>
    <row r="787">
      <c r="H787" s="214"/>
    </row>
    <row r="788">
      <c r="H788" s="214"/>
    </row>
    <row r="789">
      <c r="H789" s="214"/>
    </row>
    <row r="790">
      <c r="H790" s="214"/>
    </row>
    <row r="791">
      <c r="H791" s="214"/>
    </row>
    <row r="792">
      <c r="H792" s="214"/>
    </row>
    <row r="793">
      <c r="H793" s="214"/>
    </row>
    <row r="794">
      <c r="H794" s="214"/>
    </row>
    <row r="795">
      <c r="H795" s="214"/>
    </row>
    <row r="796">
      <c r="H796" s="214"/>
    </row>
    <row r="797">
      <c r="H797" s="214"/>
    </row>
    <row r="798">
      <c r="H798" s="214"/>
    </row>
    <row r="799">
      <c r="H799" s="214"/>
    </row>
    <row r="800">
      <c r="H800" s="214"/>
    </row>
    <row r="801">
      <c r="H801" s="214"/>
    </row>
    <row r="802">
      <c r="H802" s="214"/>
    </row>
    <row r="803">
      <c r="H803" s="214"/>
    </row>
    <row r="804">
      <c r="H804" s="214"/>
    </row>
    <row r="805">
      <c r="H805" s="214"/>
    </row>
    <row r="806">
      <c r="H806" s="214"/>
    </row>
    <row r="807">
      <c r="H807" s="214"/>
    </row>
    <row r="808">
      <c r="H808" s="214"/>
    </row>
    <row r="809">
      <c r="H809" s="214"/>
    </row>
    <row r="810">
      <c r="H810" s="214"/>
    </row>
    <row r="811">
      <c r="H811" s="214"/>
    </row>
    <row r="812">
      <c r="H812" s="214"/>
    </row>
    <row r="813">
      <c r="H813" s="214"/>
    </row>
    <row r="814">
      <c r="H814" s="214"/>
    </row>
    <row r="815">
      <c r="H815" s="214"/>
    </row>
    <row r="816">
      <c r="H816" s="214"/>
    </row>
    <row r="817">
      <c r="H817" s="214"/>
    </row>
    <row r="818">
      <c r="H818" s="214"/>
    </row>
    <row r="819">
      <c r="H819" s="214"/>
    </row>
    <row r="820">
      <c r="H820" s="214"/>
    </row>
    <row r="821">
      <c r="H821" s="214"/>
    </row>
    <row r="822">
      <c r="H822" s="214"/>
    </row>
    <row r="823">
      <c r="H823" s="214"/>
    </row>
    <row r="824">
      <c r="H824" s="214"/>
    </row>
    <row r="825">
      <c r="H825" s="214"/>
    </row>
    <row r="826">
      <c r="H826" s="214"/>
    </row>
    <row r="827">
      <c r="H827" s="214"/>
    </row>
    <row r="828">
      <c r="H828" s="214"/>
    </row>
    <row r="829">
      <c r="H829" s="214"/>
    </row>
    <row r="830">
      <c r="H830" s="214"/>
    </row>
    <row r="831">
      <c r="H831" s="214"/>
    </row>
    <row r="832">
      <c r="H832" s="214"/>
    </row>
    <row r="833">
      <c r="H833" s="214"/>
    </row>
    <row r="834">
      <c r="H834" s="214"/>
    </row>
    <row r="835">
      <c r="H835" s="214"/>
    </row>
    <row r="836">
      <c r="H836" s="214"/>
    </row>
    <row r="837">
      <c r="H837" s="214"/>
    </row>
    <row r="838">
      <c r="H838" s="214"/>
    </row>
    <row r="839">
      <c r="H839" s="214"/>
    </row>
    <row r="840">
      <c r="H840" s="214"/>
    </row>
    <row r="841">
      <c r="H841" s="214"/>
    </row>
    <row r="842">
      <c r="H842" s="214"/>
    </row>
    <row r="843">
      <c r="H843" s="214"/>
    </row>
    <row r="844">
      <c r="H844" s="214"/>
    </row>
    <row r="845">
      <c r="H845" s="214"/>
    </row>
    <row r="846">
      <c r="H846" s="214"/>
    </row>
    <row r="847">
      <c r="H847" s="214"/>
    </row>
    <row r="848">
      <c r="H848" s="214"/>
    </row>
    <row r="849">
      <c r="H849" s="214"/>
    </row>
    <row r="850">
      <c r="H850" s="214"/>
    </row>
    <row r="851">
      <c r="H851" s="214"/>
    </row>
    <row r="852">
      <c r="H852" s="214"/>
    </row>
    <row r="853">
      <c r="H853" s="214"/>
    </row>
    <row r="854">
      <c r="H854" s="214"/>
    </row>
    <row r="855">
      <c r="H855" s="214"/>
    </row>
    <row r="856">
      <c r="H856" s="214"/>
    </row>
    <row r="857">
      <c r="H857" s="214"/>
    </row>
    <row r="858">
      <c r="H858" s="214"/>
    </row>
    <row r="859">
      <c r="H859" s="214"/>
    </row>
    <row r="860">
      <c r="H860" s="214"/>
    </row>
    <row r="861">
      <c r="H861" s="214"/>
    </row>
    <row r="862">
      <c r="H862" s="214"/>
    </row>
    <row r="863">
      <c r="H863" s="214"/>
    </row>
    <row r="864">
      <c r="H864" s="214"/>
    </row>
    <row r="865">
      <c r="H865" s="214"/>
    </row>
    <row r="866">
      <c r="H866" s="214"/>
    </row>
    <row r="867">
      <c r="H867" s="214"/>
    </row>
    <row r="868">
      <c r="H868" s="214"/>
    </row>
    <row r="869">
      <c r="H869" s="214"/>
    </row>
    <row r="870">
      <c r="H870" s="214"/>
    </row>
    <row r="871">
      <c r="H871" s="214"/>
    </row>
    <row r="872">
      <c r="H872" s="214"/>
    </row>
    <row r="873">
      <c r="H873" s="214"/>
    </row>
    <row r="874">
      <c r="H874" s="214"/>
    </row>
    <row r="875">
      <c r="H875" s="214"/>
    </row>
    <row r="876">
      <c r="H876" s="214"/>
    </row>
    <row r="877">
      <c r="H877" s="214"/>
    </row>
    <row r="878">
      <c r="H878" s="214"/>
    </row>
    <row r="879">
      <c r="H879" s="214"/>
    </row>
    <row r="880">
      <c r="H880" s="214"/>
    </row>
    <row r="881">
      <c r="H881" s="214"/>
    </row>
    <row r="882">
      <c r="H882" s="214"/>
    </row>
    <row r="883">
      <c r="H883" s="214"/>
    </row>
    <row r="884">
      <c r="H884" s="214"/>
    </row>
    <row r="885">
      <c r="H885" s="214"/>
    </row>
    <row r="886">
      <c r="H886" s="214"/>
    </row>
    <row r="887">
      <c r="H887" s="214"/>
    </row>
    <row r="888">
      <c r="H888" s="214"/>
    </row>
    <row r="889">
      <c r="H889" s="214"/>
    </row>
    <row r="890">
      <c r="H890" s="214"/>
    </row>
    <row r="891">
      <c r="H891" s="214"/>
    </row>
    <row r="892">
      <c r="H892" s="214"/>
    </row>
    <row r="893">
      <c r="H893" s="214"/>
    </row>
    <row r="894">
      <c r="H894" s="214"/>
    </row>
    <row r="895">
      <c r="H895" s="214"/>
    </row>
    <row r="896">
      <c r="H896" s="214"/>
    </row>
    <row r="897">
      <c r="H897" s="214"/>
    </row>
    <row r="898">
      <c r="H898" s="214"/>
    </row>
    <row r="899">
      <c r="H899" s="214"/>
    </row>
    <row r="900">
      <c r="H900" s="214"/>
    </row>
    <row r="901">
      <c r="H901" s="214"/>
    </row>
    <row r="902">
      <c r="H902" s="214"/>
    </row>
    <row r="903">
      <c r="H903" s="214"/>
    </row>
    <row r="904">
      <c r="H904" s="214"/>
    </row>
    <row r="905">
      <c r="H905" s="214"/>
    </row>
    <row r="906">
      <c r="H906" s="214"/>
    </row>
    <row r="907">
      <c r="H907" s="214"/>
    </row>
    <row r="908">
      <c r="H908" s="214"/>
    </row>
    <row r="909">
      <c r="H909" s="214"/>
    </row>
    <row r="910">
      <c r="H910" s="214"/>
    </row>
    <row r="911">
      <c r="H911" s="214"/>
    </row>
    <row r="912">
      <c r="H912" s="214"/>
    </row>
    <row r="913">
      <c r="H913" s="214"/>
    </row>
    <row r="914">
      <c r="H914" s="214"/>
    </row>
    <row r="915">
      <c r="H915" s="214"/>
    </row>
    <row r="916">
      <c r="H916" s="214"/>
    </row>
    <row r="917">
      <c r="H917" s="214"/>
    </row>
    <row r="918">
      <c r="H918" s="214"/>
    </row>
    <row r="919">
      <c r="H919" s="214"/>
    </row>
    <row r="920">
      <c r="H920" s="214"/>
    </row>
    <row r="921">
      <c r="H921" s="214"/>
    </row>
    <row r="922">
      <c r="H922" s="214"/>
    </row>
    <row r="923">
      <c r="H923" s="214"/>
    </row>
    <row r="924">
      <c r="H924" s="214"/>
    </row>
    <row r="925">
      <c r="H925" s="214"/>
    </row>
    <row r="926">
      <c r="H926" s="214"/>
    </row>
    <row r="927">
      <c r="H927" s="214"/>
    </row>
    <row r="928">
      <c r="H928" s="214"/>
    </row>
    <row r="929">
      <c r="H929" s="214"/>
    </row>
    <row r="930">
      <c r="H930" s="214"/>
    </row>
    <row r="931">
      <c r="H931" s="214"/>
    </row>
    <row r="932">
      <c r="H932" s="214"/>
    </row>
    <row r="933">
      <c r="H933" s="214"/>
    </row>
    <row r="934">
      <c r="H934" s="214"/>
    </row>
    <row r="935">
      <c r="H935" s="214"/>
    </row>
    <row r="936">
      <c r="H936" s="214"/>
    </row>
    <row r="937">
      <c r="H937" s="214"/>
    </row>
    <row r="938">
      <c r="H938" s="214"/>
    </row>
    <row r="939">
      <c r="H939" s="214"/>
    </row>
    <row r="940">
      <c r="H940" s="214"/>
    </row>
    <row r="941">
      <c r="H941" s="214"/>
    </row>
    <row r="942">
      <c r="H942" s="214"/>
    </row>
    <row r="943">
      <c r="H943" s="214"/>
    </row>
    <row r="944">
      <c r="H944" s="214"/>
    </row>
    <row r="945">
      <c r="H945" s="214"/>
    </row>
    <row r="946">
      <c r="H946" s="214"/>
    </row>
    <row r="947">
      <c r="H947" s="214"/>
    </row>
    <row r="948">
      <c r="H948" s="214"/>
    </row>
    <row r="949">
      <c r="H949" s="214"/>
    </row>
    <row r="950">
      <c r="H950" s="214"/>
    </row>
    <row r="951">
      <c r="H951" s="214"/>
    </row>
    <row r="952">
      <c r="H952" s="214"/>
    </row>
    <row r="953">
      <c r="H953" s="214"/>
    </row>
    <row r="954">
      <c r="H954" s="214"/>
    </row>
    <row r="955">
      <c r="H955" s="214"/>
    </row>
    <row r="956">
      <c r="H956" s="214"/>
    </row>
    <row r="957">
      <c r="H957" s="214"/>
    </row>
    <row r="958">
      <c r="H958" s="214"/>
    </row>
    <row r="959">
      <c r="H959" s="214"/>
    </row>
    <row r="960">
      <c r="H960" s="214"/>
    </row>
    <row r="961">
      <c r="H961" s="214"/>
    </row>
    <row r="962">
      <c r="H962" s="214"/>
    </row>
    <row r="963">
      <c r="H963" s="214"/>
    </row>
    <row r="964">
      <c r="H964" s="214"/>
    </row>
    <row r="965">
      <c r="H965" s="214"/>
    </row>
    <row r="966">
      <c r="H966" s="214"/>
    </row>
    <row r="967">
      <c r="H967" s="214"/>
    </row>
    <row r="968">
      <c r="H968" s="214"/>
    </row>
    <row r="969">
      <c r="H969" s="214"/>
    </row>
    <row r="970">
      <c r="H970" s="214"/>
    </row>
    <row r="971">
      <c r="H971" s="214"/>
    </row>
    <row r="972">
      <c r="H972" s="214"/>
    </row>
    <row r="973">
      <c r="H973" s="214"/>
    </row>
    <row r="974">
      <c r="H974" s="214"/>
    </row>
    <row r="975">
      <c r="H975" s="214"/>
    </row>
    <row r="976">
      <c r="H976" s="214"/>
    </row>
    <row r="977">
      <c r="H977" s="214"/>
    </row>
    <row r="978">
      <c r="H978" s="214"/>
    </row>
    <row r="979">
      <c r="H979" s="214"/>
    </row>
    <row r="980">
      <c r="H980" s="214"/>
    </row>
    <row r="981">
      <c r="H981" s="214"/>
    </row>
    <row r="982">
      <c r="H982" s="214"/>
    </row>
    <row r="983">
      <c r="H983" s="214"/>
    </row>
    <row r="984">
      <c r="H984" s="214"/>
    </row>
    <row r="985">
      <c r="H985" s="214"/>
    </row>
    <row r="986">
      <c r="H986" s="214"/>
    </row>
    <row r="987">
      <c r="H987" s="214"/>
    </row>
    <row r="988">
      <c r="H988" s="214"/>
    </row>
    <row r="989">
      <c r="H989" s="214"/>
    </row>
    <row r="990">
      <c r="H990" s="214"/>
    </row>
    <row r="991">
      <c r="H991" s="214"/>
    </row>
    <row r="992">
      <c r="H992" s="214"/>
    </row>
    <row r="993">
      <c r="H993" s="214"/>
    </row>
    <row r="994">
      <c r="H994" s="214"/>
    </row>
    <row r="995">
      <c r="H995" s="214"/>
    </row>
    <row r="996">
      <c r="H996" s="214"/>
    </row>
    <row r="997">
      <c r="H997" s="214"/>
    </row>
    <row r="998">
      <c r="H998" s="214"/>
    </row>
    <row r="999">
      <c r="H999" s="214"/>
    </row>
    <row r="1000">
      <c r="H1000" s="214"/>
    </row>
  </sheetData>
  <mergeCells count="5">
    <mergeCell ref="A1:J1"/>
    <mergeCell ref="A4:C4"/>
    <mergeCell ref="D4:J4"/>
    <mergeCell ref="E13:H13"/>
    <mergeCell ref="I13:K13"/>
  </mergeCells>
  <dataValidations>
    <dataValidation type="list" allowBlank="1" showErrorMessage="1" sqref="G15:G29 I15:I29">
      <formula1>"0,0.25,0.50,0.75,1.0"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3" max="3" width="10.13"/>
    <col customWidth="1" min="4" max="4" width="7.63"/>
    <col customWidth="1" min="6" max="6" width="21.38"/>
  </cols>
  <sheetData>
    <row r="1">
      <c r="A1" s="222" t="s">
        <v>481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482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23" t="s">
        <v>68</v>
      </c>
      <c r="B3" s="223" t="s">
        <v>70</v>
      </c>
      <c r="C3" s="224" t="s">
        <v>483</v>
      </c>
      <c r="D3" s="225"/>
      <c r="E3" s="226"/>
      <c r="F3" s="2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27" t="s">
        <v>484</v>
      </c>
      <c r="B4" s="228">
        <v>15.0</v>
      </c>
      <c r="C4" s="229">
        <f>'ส่วนที่ 3 (H)'!C9</f>
        <v>250</v>
      </c>
      <c r="D4" s="230" t="s">
        <v>485</v>
      </c>
      <c r="E4" s="231"/>
      <c r="F4" s="2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27" t="s">
        <v>486</v>
      </c>
      <c r="B5" s="228">
        <v>15.0</v>
      </c>
      <c r="C5" s="229">
        <f>'ส่วนที่ 3 (I)'!C9</f>
        <v>50</v>
      </c>
      <c r="D5" s="233" t="s">
        <v>485</v>
      </c>
      <c r="E5" s="231"/>
      <c r="F5" s="23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27" t="s">
        <v>487</v>
      </c>
      <c r="B6" s="228">
        <v>15.0</v>
      </c>
      <c r="C6" s="234">
        <f>'ส่วนที่ 3 (C)'!C9</f>
        <v>200</v>
      </c>
      <c r="D6" s="233" t="s">
        <v>488</v>
      </c>
      <c r="E6" s="231"/>
      <c r="F6" s="23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27" t="s">
        <v>489</v>
      </c>
      <c r="B7" s="228">
        <v>15.0</v>
      </c>
      <c r="C7" s="234">
        <f>'ส่วนที่ 3 (M)'!C9</f>
        <v>200</v>
      </c>
      <c r="D7" s="233" t="s">
        <v>488</v>
      </c>
      <c r="E7" s="231"/>
      <c r="F7" s="23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5" t="s">
        <v>490</v>
      </c>
      <c r="B8" s="236">
        <v>60.0</v>
      </c>
      <c r="C8" s="237">
        <f>SUM(C4:C7)</f>
        <v>700</v>
      </c>
      <c r="D8" s="238" t="s">
        <v>491</v>
      </c>
      <c r="E8" s="231"/>
      <c r="F8" s="23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492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23" t="s">
        <v>98</v>
      </c>
      <c r="B11" s="223" t="s">
        <v>99</v>
      </c>
      <c r="C11" s="239" t="s">
        <v>493</v>
      </c>
      <c r="D11" s="240"/>
      <c r="E11" s="240"/>
      <c r="F11" s="15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41" t="s">
        <v>118</v>
      </c>
      <c r="B12" s="241" t="s">
        <v>119</v>
      </c>
      <c r="C12" s="242" t="s">
        <v>494</v>
      </c>
      <c r="D12" s="240"/>
      <c r="E12" s="240"/>
      <c r="F12" s="15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41" t="s">
        <v>114</v>
      </c>
      <c r="B13" s="241" t="s">
        <v>115</v>
      </c>
      <c r="C13" s="242" t="s">
        <v>495</v>
      </c>
      <c r="D13" s="240"/>
      <c r="E13" s="240"/>
      <c r="F13" s="15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1" t="s">
        <v>110</v>
      </c>
      <c r="B14" s="241" t="s">
        <v>111</v>
      </c>
      <c r="C14" s="242" t="s">
        <v>496</v>
      </c>
      <c r="D14" s="240"/>
      <c r="E14" s="240"/>
      <c r="F14" s="15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41" t="s">
        <v>106</v>
      </c>
      <c r="B15" s="241" t="s">
        <v>107</v>
      </c>
      <c r="C15" s="242" t="s">
        <v>497</v>
      </c>
      <c r="D15" s="240"/>
      <c r="E15" s="240"/>
      <c r="F15" s="15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41" t="s">
        <v>102</v>
      </c>
      <c r="B16" s="241" t="s">
        <v>103</v>
      </c>
      <c r="C16" s="242" t="s">
        <v>498</v>
      </c>
      <c r="D16" s="240"/>
      <c r="E16" s="240"/>
      <c r="F16" s="15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2.0" customHeight="1">
      <c r="A18" s="243" t="s">
        <v>499</v>
      </c>
      <c r="B18" s="244">
        <f>C8</f>
        <v>700</v>
      </c>
      <c r="C18" s="245" t="s">
        <v>500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46"/>
      <c r="B19" s="247"/>
      <c r="C19" s="24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2.25" customHeight="1">
      <c r="A20" s="248" t="s">
        <v>501</v>
      </c>
      <c r="B20" s="249" t="str">
        <f>if(B18&lt;=600,A16,if(B18&lt;=699,A15,if(B18&lt;=799,A14,if(B18&lt;=899,A13,if(B18&lt;=1000,A12,"NO")))))</f>
        <v>Level 3</v>
      </c>
      <c r="C20" s="250" t="s">
        <v>502</v>
      </c>
      <c r="D20" s="251" t="str">
        <f>if(B18&lt;=600,C16,if(B18&lt;=699,C15,if(B18&lt;=799,C14,if(B18&lt;=899,C13,if(B18&lt;=1000,C12,"NO")))))</f>
        <v>พัฒนาดี (Performing) - องค์กรมีระบบที่ดี มีการดำเนินงานอย่างมีประสิทธิภาพ</v>
      </c>
      <c r="G20" s="252"/>
      <c r="H20" s="252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ht="32.25" customHeight="1">
      <c r="B21" s="254"/>
      <c r="D21" s="255"/>
      <c r="E21" s="255"/>
      <c r="F21" s="255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>
      <c r="A22" s="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0" customHeight="1">
      <c r="A23" s="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" t="s">
        <v>503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56" t="s">
        <v>504</v>
      </c>
      <c r="C25" s="134"/>
      <c r="D25" s="134"/>
      <c r="E25" s="256" t="s">
        <v>505</v>
      </c>
      <c r="F25" s="134"/>
      <c r="G25" s="13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56" t="s">
        <v>506</v>
      </c>
      <c r="C26" s="134"/>
      <c r="D26" s="134"/>
      <c r="E26" s="256" t="s">
        <v>506</v>
      </c>
      <c r="F26" s="134"/>
      <c r="G26" s="13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6" t="s">
        <v>507</v>
      </c>
      <c r="C27" s="134"/>
      <c r="D27" s="134"/>
      <c r="E27" s="256" t="s">
        <v>507</v>
      </c>
      <c r="F27" s="134"/>
      <c r="G27" s="13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6">
    <mergeCell ref="A1:F1"/>
    <mergeCell ref="C3:D3"/>
    <mergeCell ref="C11:F11"/>
    <mergeCell ref="C12:F12"/>
    <mergeCell ref="C13:F13"/>
    <mergeCell ref="C14:F14"/>
    <mergeCell ref="C15:F15"/>
    <mergeCell ref="A26:B26"/>
    <mergeCell ref="A27:B27"/>
    <mergeCell ref="C16:F16"/>
    <mergeCell ref="C18:F18"/>
    <mergeCell ref="A20:A21"/>
    <mergeCell ref="B20:B21"/>
    <mergeCell ref="C20:C21"/>
    <mergeCell ref="D20:F21"/>
    <mergeCell ref="A25:B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2.88"/>
    <col customWidth="1" min="5" max="5" width="20.38"/>
    <col customWidth="1" min="7" max="7" width="4.75"/>
  </cols>
  <sheetData>
    <row r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A3" s="257" t="s">
        <v>508</v>
      </c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A4" s="134"/>
      <c r="B4" s="134"/>
      <c r="C4" s="10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A5" s="134"/>
      <c r="B5" s="258" t="s">
        <v>509</v>
      </c>
      <c r="C5" s="1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>
      <c r="A6" s="134"/>
      <c r="B6" s="134"/>
      <c r="C6" s="10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ht="31.5" customHeight="1">
      <c r="A7" s="259" t="s">
        <v>510</v>
      </c>
      <c r="B7" s="260"/>
      <c r="C7" s="1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ht="28.5" customHeight="1">
      <c r="A8" s="134"/>
      <c r="B8" s="163" t="s">
        <v>511</v>
      </c>
      <c r="C8" s="261"/>
      <c r="D8" s="262"/>
      <c r="E8" s="262"/>
      <c r="F8" s="262"/>
      <c r="G8" s="262"/>
      <c r="H8" s="1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28.5" customHeight="1">
      <c r="A9" s="134"/>
      <c r="B9" s="163" t="s">
        <v>512</v>
      </c>
      <c r="C9" s="261"/>
      <c r="D9" s="262"/>
      <c r="E9" s="262"/>
      <c r="F9" s="262"/>
      <c r="G9" s="262"/>
      <c r="H9" s="1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ht="28.5" customHeight="1">
      <c r="A10" s="134"/>
      <c r="B10" s="163" t="s">
        <v>513</v>
      </c>
      <c r="C10" s="261"/>
      <c r="D10" s="262"/>
      <c r="E10" s="262"/>
      <c r="F10" s="262"/>
      <c r="G10" s="262"/>
      <c r="H10" s="1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ht="28.5" customHeight="1">
      <c r="A11" s="134"/>
      <c r="B11" s="163" t="s">
        <v>514</v>
      </c>
      <c r="C11" s="261"/>
      <c r="D11" s="262"/>
      <c r="E11" s="262"/>
      <c r="F11" s="262"/>
      <c r="G11" s="262"/>
      <c r="H11" s="1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ht="28.5" customHeight="1">
      <c r="A12" s="134"/>
      <c r="B12" s="163" t="s">
        <v>515</v>
      </c>
      <c r="C12" s="261"/>
      <c r="D12" s="262"/>
      <c r="E12" s="262"/>
      <c r="F12" s="262"/>
      <c r="G12" s="262"/>
      <c r="H12" s="1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28.5" customHeight="1">
      <c r="A13" s="134"/>
      <c r="B13" s="163" t="s">
        <v>516</v>
      </c>
      <c r="C13" s="261"/>
      <c r="D13" s="262"/>
      <c r="E13" s="262"/>
      <c r="F13" s="262"/>
      <c r="G13" s="262"/>
      <c r="H13" s="1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28.5" customHeight="1">
      <c r="A14" s="134"/>
      <c r="B14" s="163" t="s">
        <v>517</v>
      </c>
      <c r="C14" s="261"/>
      <c r="D14" s="262"/>
      <c r="E14" s="262"/>
      <c r="F14" s="262"/>
      <c r="G14" s="262"/>
      <c r="H14" s="1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28.5" customHeight="1">
      <c r="A15" s="134"/>
      <c r="B15" s="163" t="s">
        <v>518</v>
      </c>
      <c r="C15" s="261"/>
      <c r="D15" s="262"/>
      <c r="E15" s="262"/>
      <c r="F15" s="262"/>
      <c r="G15" s="262"/>
      <c r="H15" s="1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26.25" customHeight="1">
      <c r="A16" s="134"/>
      <c r="B16" s="134"/>
      <c r="C16" s="10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>
      <c r="A17" s="263" t="s">
        <v>519</v>
      </c>
      <c r="B17" s="260"/>
      <c r="C17" s="1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>
      <c r="A18" s="134"/>
      <c r="B18" s="1"/>
      <c r="C18" s="256"/>
      <c r="D18" s="256"/>
      <c r="E18" s="256"/>
      <c r="F18" s="256"/>
      <c r="G18" s="134"/>
      <c r="H18" s="1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>
      <c r="A19" s="134"/>
      <c r="B19" s="1"/>
      <c r="C19" s="264" t="s">
        <v>68</v>
      </c>
      <c r="D19" s="264" t="s">
        <v>373</v>
      </c>
      <c r="E19" s="264" t="s">
        <v>139</v>
      </c>
      <c r="F19" s="264" t="s">
        <v>520</v>
      </c>
      <c r="G19" s="134"/>
      <c r="H19" s="1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>
      <c r="A20" s="134"/>
      <c r="B20" s="1"/>
      <c r="C20" s="265" t="s">
        <v>521</v>
      </c>
      <c r="D20" s="266">
        <v>300.0</v>
      </c>
      <c r="E20" s="267">
        <f>'ส่วนที่ 3 (H)'!J31</f>
        <v>290</v>
      </c>
      <c r="F20" s="268">
        <f t="shared" ref="F20:F24" si="1">(E20/D20)*100</f>
        <v>96.66666667</v>
      </c>
      <c r="G20" s="134"/>
      <c r="H20" s="1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>
      <c r="A21" s="134"/>
      <c r="B21" s="1"/>
      <c r="C21" s="265" t="s">
        <v>522</v>
      </c>
      <c r="D21" s="266">
        <v>300.0</v>
      </c>
      <c r="E21" s="267">
        <f>'ส่วนที่ 3 (I)'!K30</f>
        <v>40</v>
      </c>
      <c r="F21" s="268">
        <f t="shared" si="1"/>
        <v>13.33333333</v>
      </c>
      <c r="G21" s="134"/>
      <c r="H21" s="1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>
      <c r="A22" s="134"/>
      <c r="B22" s="1"/>
      <c r="C22" s="265" t="s">
        <v>523</v>
      </c>
      <c r="D22" s="266">
        <v>200.0</v>
      </c>
      <c r="E22" s="267">
        <f>'ส่วนที่ 3 (C)'!J30</f>
        <v>200</v>
      </c>
      <c r="F22" s="269">
        <f t="shared" si="1"/>
        <v>100</v>
      </c>
      <c r="G22" s="134"/>
      <c r="H22" s="1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>
      <c r="A23" s="134"/>
      <c r="B23" s="1"/>
      <c r="C23" s="265" t="s">
        <v>524</v>
      </c>
      <c r="D23" s="266">
        <v>200.0</v>
      </c>
      <c r="E23" s="267">
        <f>'ส่วนที่ 3 (M)'!J30</f>
        <v>200</v>
      </c>
      <c r="F23" s="269">
        <f t="shared" si="1"/>
        <v>100</v>
      </c>
      <c r="G23" s="134"/>
      <c r="H23" s="1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>
      <c r="A24" s="134"/>
      <c r="B24" s="1"/>
      <c r="C24" s="270" t="s">
        <v>525</v>
      </c>
      <c r="D24" s="271">
        <v>1000.0</v>
      </c>
      <c r="E24" s="272">
        <f>SUM(E20:E23)</f>
        <v>730</v>
      </c>
      <c r="F24" s="273">
        <f t="shared" si="1"/>
        <v>73</v>
      </c>
      <c r="G24" s="134"/>
      <c r="H24" s="1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>
      <c r="A25" s="134"/>
      <c r="B25" s="1"/>
      <c r="C25" s="10"/>
      <c r="D25" s="134"/>
      <c r="E25" s="134"/>
      <c r="F25" s="134"/>
      <c r="G25" s="134"/>
      <c r="H25" s="1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>
      <c r="A26" s="274" t="s">
        <v>526</v>
      </c>
      <c r="B26" s="260"/>
      <c r="C26" s="1"/>
      <c r="D26" s="134"/>
      <c r="E26" s="134"/>
      <c r="F26" s="134"/>
      <c r="G26" s="134"/>
      <c r="H26" s="1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>
      <c r="A27" s="134"/>
      <c r="B27" s="1"/>
      <c r="C27" s="270" t="s">
        <v>98</v>
      </c>
      <c r="D27" s="270" t="s">
        <v>99</v>
      </c>
      <c r="E27" s="270" t="s">
        <v>198</v>
      </c>
      <c r="F27" s="134"/>
      <c r="G27" s="134"/>
      <c r="H27" s="1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>
      <c r="A28" s="134"/>
      <c r="B28" s="1"/>
      <c r="C28" s="265" t="s">
        <v>527</v>
      </c>
      <c r="D28" s="266" t="s">
        <v>103</v>
      </c>
      <c r="E28" s="275" t="str">
        <f>if(E24&lt;=600,C28,if(E24&lt;=699,C29,if(E24&lt;=799,C30,if(E24&lt;=899,C31,if(E24&lt;=1000,C32,"NO")))))</f>
        <v>Level 3: พัฒนาดี (Performing)</v>
      </c>
      <c r="F28" s="134"/>
      <c r="G28" s="134"/>
      <c r="H28" s="1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>
      <c r="A29" s="134"/>
      <c r="B29" s="1"/>
      <c r="C29" s="265" t="s">
        <v>528</v>
      </c>
      <c r="D29" s="266" t="s">
        <v>107</v>
      </c>
      <c r="E29" s="276"/>
      <c r="F29" s="134"/>
      <c r="G29" s="134"/>
      <c r="H29" s="1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>
      <c r="A30" s="134"/>
      <c r="B30" s="1"/>
      <c r="C30" s="265" t="s">
        <v>529</v>
      </c>
      <c r="D30" s="266" t="s">
        <v>111</v>
      </c>
      <c r="E30" s="276"/>
      <c r="F30" s="134"/>
      <c r="G30" s="134"/>
      <c r="H30" s="1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>
      <c r="A31" s="134"/>
      <c r="B31" s="1"/>
      <c r="C31" s="265" t="s">
        <v>530</v>
      </c>
      <c r="D31" s="266" t="s">
        <v>115</v>
      </c>
      <c r="E31" s="276"/>
      <c r="F31" s="134"/>
      <c r="G31" s="134"/>
      <c r="H31" s="1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>
      <c r="A32" s="134"/>
      <c r="B32" s="1"/>
      <c r="C32" s="265" t="s">
        <v>531</v>
      </c>
      <c r="D32" s="266" t="s">
        <v>119</v>
      </c>
      <c r="E32" s="88"/>
      <c r="F32" s="134"/>
      <c r="G32" s="134"/>
      <c r="H32" s="1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27.75" customHeight="1">
      <c r="A33" s="134"/>
      <c r="B33" s="10"/>
      <c r="C33" s="134"/>
      <c r="D33" s="134"/>
      <c r="E33" s="134"/>
      <c r="F33" s="134"/>
      <c r="G33" s="134"/>
      <c r="H33" s="1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>
      <c r="A34" s="134"/>
      <c r="B34" s="10"/>
      <c r="C34" s="134"/>
      <c r="D34" s="134"/>
      <c r="E34" s="134"/>
      <c r="F34" s="134"/>
      <c r="G34" s="134"/>
      <c r="H34" s="1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>
      <c r="A35" s="263" t="s">
        <v>532</v>
      </c>
      <c r="B35" s="260"/>
      <c r="C35" s="134"/>
      <c r="D35" s="134"/>
      <c r="E35" s="134"/>
      <c r="F35" s="134"/>
      <c r="G35" s="134"/>
      <c r="H35" s="1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>
      <c r="A36" s="134"/>
      <c r="B36" s="10"/>
      <c r="C36" s="134"/>
      <c r="D36" s="134"/>
      <c r="E36" s="134"/>
      <c r="F36" s="134"/>
      <c r="G36" s="134"/>
      <c r="H36" s="1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>
      <c r="A37" s="277"/>
      <c r="B37" s="278"/>
      <c r="C37" s="134"/>
      <c r="D37" s="134"/>
      <c r="E37" s="134"/>
      <c r="F37" s="134"/>
      <c r="G37" s="134"/>
      <c r="H37" s="1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5.75" customHeight="1">
      <c r="A38" s="134"/>
      <c r="B38" s="279" t="s">
        <v>533</v>
      </c>
      <c r="C38" s="280"/>
      <c r="D38" s="280"/>
      <c r="E38" s="280"/>
      <c r="F38" s="280"/>
      <c r="G38" s="281"/>
      <c r="H38" s="1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27.5" customHeight="1">
      <c r="A39" s="282"/>
      <c r="B39" s="283"/>
      <c r="C39" s="284" t="s">
        <v>534</v>
      </c>
      <c r="G39" s="285"/>
      <c r="H39" s="1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>
      <c r="A40" s="286"/>
      <c r="B40" s="287"/>
      <c r="C40" s="288"/>
      <c r="D40" s="288"/>
      <c r="E40" s="288"/>
      <c r="F40" s="288"/>
      <c r="G40" s="289"/>
      <c r="H40" s="1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>
      <c r="A41" s="282"/>
      <c r="B41" s="1"/>
      <c r="C41" s="134"/>
      <c r="D41" s="134"/>
      <c r="E41" s="134"/>
      <c r="F41" s="134"/>
      <c r="G41" s="134"/>
      <c r="H41" s="1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>
      <c r="A42" s="286"/>
      <c r="B42" s="1"/>
      <c r="C42" s="134"/>
      <c r="D42" s="134"/>
      <c r="E42" s="134"/>
      <c r="F42" s="134"/>
      <c r="G42" s="134"/>
      <c r="H42" s="1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5.75" customHeight="1">
      <c r="A43" s="134"/>
      <c r="B43" s="279" t="s">
        <v>535</v>
      </c>
      <c r="C43" s="280"/>
      <c r="D43" s="280"/>
      <c r="E43" s="280"/>
      <c r="F43" s="280"/>
      <c r="G43" s="281"/>
      <c r="H43" s="1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27.5" customHeight="1">
      <c r="A44" s="282"/>
      <c r="B44" s="283"/>
      <c r="C44" s="284" t="s">
        <v>534</v>
      </c>
      <c r="G44" s="285"/>
      <c r="H44" s="1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>
      <c r="A45" s="286"/>
      <c r="B45" s="287"/>
      <c r="C45" s="288"/>
      <c r="D45" s="288"/>
      <c r="E45" s="288"/>
      <c r="F45" s="288"/>
      <c r="G45" s="289"/>
      <c r="H45" s="1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>
      <c r="A46" s="286"/>
      <c r="B46" s="1"/>
      <c r="C46" s="134"/>
      <c r="D46" s="134"/>
      <c r="E46" s="134"/>
      <c r="F46" s="134"/>
      <c r="G46" s="134"/>
      <c r="H46" s="1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>
      <c r="A47" s="282"/>
      <c r="B47" s="1"/>
      <c r="C47" s="134"/>
      <c r="D47" s="134"/>
      <c r="E47" s="134"/>
      <c r="F47" s="134"/>
      <c r="G47" s="134"/>
      <c r="H47" s="1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>
      <c r="A48" s="134"/>
      <c r="B48" s="10"/>
      <c r="C48" s="134"/>
      <c r="D48" s="134"/>
      <c r="E48" s="134"/>
      <c r="F48" s="134"/>
      <c r="G48" s="134"/>
      <c r="H48" s="1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>
      <c r="A49" s="290" t="s">
        <v>536</v>
      </c>
      <c r="B49" s="291"/>
      <c r="C49" s="134"/>
      <c r="D49" s="134"/>
      <c r="E49" s="134"/>
      <c r="F49" s="134"/>
      <c r="G49" s="134"/>
      <c r="H49" s="1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>
      <c r="A50" s="134"/>
      <c r="B50" s="256"/>
      <c r="C50" s="256"/>
      <c r="D50" s="256"/>
      <c r="E50" s="256"/>
      <c r="F50" s="256"/>
      <c r="G50" s="134"/>
      <c r="H50" s="1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>
      <c r="A51" s="134"/>
      <c r="B51" s="292" t="s">
        <v>537</v>
      </c>
      <c r="C51" s="292" t="s">
        <v>538</v>
      </c>
      <c r="D51" s="292" t="s">
        <v>539</v>
      </c>
      <c r="E51" s="292" t="s">
        <v>540</v>
      </c>
      <c r="F51" s="292" t="s">
        <v>541</v>
      </c>
      <c r="G51" s="134"/>
      <c r="H51" s="1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>
      <c r="A52" s="134"/>
      <c r="B52" s="293">
        <v>1.0</v>
      </c>
      <c r="C52" s="294"/>
      <c r="D52" s="294"/>
      <c r="E52" s="294"/>
      <c r="F52" s="294"/>
      <c r="G52" s="134"/>
      <c r="H52" s="1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>
      <c r="A53" s="134"/>
      <c r="B53" s="293">
        <v>2.0</v>
      </c>
      <c r="C53" s="294"/>
      <c r="D53" s="294"/>
      <c r="E53" s="294"/>
      <c r="F53" s="294"/>
      <c r="G53" s="134"/>
      <c r="H53" s="1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>
      <c r="A54" s="134"/>
      <c r="B54" s="293">
        <v>3.0</v>
      </c>
      <c r="C54" s="294"/>
      <c r="D54" s="294"/>
      <c r="E54" s="294"/>
      <c r="F54" s="294"/>
      <c r="G54" s="134"/>
      <c r="H54" s="1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>
      <c r="A55" s="134"/>
      <c r="B55" s="293">
        <v>4.0</v>
      </c>
      <c r="C55" s="294"/>
      <c r="D55" s="294"/>
      <c r="E55" s="294"/>
      <c r="F55" s="294"/>
      <c r="G55" s="134"/>
      <c r="H55" s="1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>
      <c r="A56" s="134"/>
      <c r="B56" s="293">
        <v>5.0</v>
      </c>
      <c r="C56" s="294"/>
      <c r="D56" s="294"/>
      <c r="E56" s="294"/>
      <c r="F56" s="294"/>
      <c r="G56" s="134"/>
      <c r="H56" s="1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>
      <c r="A57" s="134"/>
      <c r="B57" s="9"/>
      <c r="C57" s="134"/>
      <c r="D57" s="134"/>
      <c r="E57" s="134"/>
      <c r="F57" s="134"/>
      <c r="G57" s="134"/>
      <c r="H57" s="1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A58" s="134"/>
      <c r="B58" s="9" t="s">
        <v>542</v>
      </c>
      <c r="C58" s="134"/>
      <c r="D58" s="134"/>
      <c r="E58" s="134"/>
      <c r="F58" s="134"/>
      <c r="G58" s="134"/>
      <c r="H58" s="1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A59" s="134"/>
      <c r="B59" s="10"/>
      <c r="C59" s="134"/>
      <c r="D59" s="134"/>
      <c r="E59" s="134"/>
      <c r="F59" s="134"/>
      <c r="G59" s="134"/>
      <c r="H59" s="1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A60" s="134"/>
      <c r="B60" s="277" t="s">
        <v>543</v>
      </c>
      <c r="C60" s="295"/>
      <c r="D60" s="277" t="s">
        <v>544</v>
      </c>
      <c r="E60" s="295"/>
      <c r="F60" s="134"/>
      <c r="G60" s="134"/>
      <c r="H60" s="1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A61" s="134"/>
      <c r="B61" s="277" t="s">
        <v>545</v>
      </c>
      <c r="C61" s="295"/>
      <c r="D61" s="277" t="s">
        <v>544</v>
      </c>
      <c r="E61" s="295"/>
      <c r="F61" s="134"/>
      <c r="G61" s="134"/>
      <c r="H61" s="1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A62" s="134"/>
      <c r="B62" s="277" t="s">
        <v>546</v>
      </c>
      <c r="C62" s="295"/>
      <c r="D62" s="277" t="s">
        <v>544</v>
      </c>
      <c r="E62" s="295"/>
      <c r="F62" s="134"/>
      <c r="G62" s="134"/>
      <c r="H62" s="1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>
      <c r="A63" s="134"/>
      <c r="B63" s="1"/>
      <c r="C63" s="257" t="s">
        <v>547</v>
      </c>
      <c r="D63" s="134"/>
      <c r="E63" s="134"/>
      <c r="F63" s="134"/>
      <c r="G63" s="134"/>
      <c r="H63" s="1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>
      <c r="A64" s="134"/>
      <c r="B64" s="10"/>
      <c r="C64" s="134"/>
      <c r="D64" s="134"/>
      <c r="E64" s="134"/>
      <c r="F64" s="134"/>
      <c r="G64" s="134"/>
      <c r="H64" s="1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>
      <c r="A65" s="134"/>
      <c r="B65" s="134"/>
      <c r="C65" s="134"/>
      <c r="D65" s="134"/>
      <c r="E65" s="134"/>
      <c r="F65" s="134"/>
      <c r="G65" s="134"/>
      <c r="H65" s="1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>
      <c r="A66" s="134"/>
      <c r="B66" s="134"/>
      <c r="C66" s="134"/>
      <c r="D66" s="134"/>
      <c r="E66" s="134"/>
      <c r="F66" s="134"/>
      <c r="G66" s="134"/>
      <c r="H66" s="1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15">
    <mergeCell ref="C14:G14"/>
    <mergeCell ref="C15:G15"/>
    <mergeCell ref="E28:E32"/>
    <mergeCell ref="B38:B40"/>
    <mergeCell ref="C39:F39"/>
    <mergeCell ref="B43:B45"/>
    <mergeCell ref="C44:F44"/>
    <mergeCell ref="A49:B49"/>
    <mergeCell ref="A3:I3"/>
    <mergeCell ref="C8:G8"/>
    <mergeCell ref="C9:G9"/>
    <mergeCell ref="C10:G10"/>
    <mergeCell ref="C11:G11"/>
    <mergeCell ref="C12:G12"/>
    <mergeCell ref="C13:G13"/>
  </mergeCells>
  <drawing r:id="rId1"/>
</worksheet>
</file>